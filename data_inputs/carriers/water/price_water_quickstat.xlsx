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lybox\Master Thesis\Data\Midterm\data_preprossesing2\data_inputs\set_carriers\blue_water\"/>
    </mc:Choice>
  </mc:AlternateContent>
  <xr:revisionPtr revIDLastSave="0" documentId="13_ncr:1_{13B9037A-C6D7-45DF-9E72-A702A3BA063A}" xr6:coauthVersionLast="36" xr6:coauthVersionMax="36" xr10:uidLastSave="{00000000-0000-0000-0000-000000000000}"/>
  <bookViews>
    <workbookView xWindow="0" yWindow="0" windowWidth="14370" windowHeight="8895" activeTab="1" xr2:uid="{00000000-000D-0000-FFFF-FFFF00000000}"/>
  </bookViews>
  <sheets>
    <sheet name="data" sheetId="1" r:id="rId1"/>
    <sheet name="data_info" sheetId="2" r:id="rId2"/>
  </sheets>
  <calcPr calcId="191029"/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2" i="1"/>
</calcChain>
</file>

<file path=xl/sharedStrings.xml><?xml version="1.0" encoding="utf-8"?>
<sst xmlns="http://schemas.openxmlformats.org/spreadsheetml/2006/main" count="75" uniqueCount="74">
  <si>
    <t>State</t>
  </si>
  <si>
    <t>ALABAMA</t>
  </si>
  <si>
    <t>ALASKA</t>
  </si>
  <si>
    <t>ARIZONA</t>
  </si>
  <si>
    <t>ARKANSAS</t>
  </si>
  <si>
    <t>CALIFORNIA</t>
  </si>
  <si>
    <t>COLORADO</t>
  </si>
  <si>
    <t>CONNECTICUT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</si>
  <si>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</si>
  <si>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</si>
  <si>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</si>
  <si>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</si>
  <si>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</si>
  <si>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</si>
  <si>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</si>
  <si>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</si>
  <si>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</si>
  <si>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</si>
  <si>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</si>
  <si>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</si>
  <si>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</si>
  <si>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</si>
  <si>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</si>
  <si>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</si>
  <si>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</si>
  <si>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</si>
  <si>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</si>
  <si>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</si>
  <si>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</si>
  <si>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</si>
  <si>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</si>
  <si>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</si>
  <si>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</si>
  <si>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</si>
  <si>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</si>
  <si>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</si>
  <si>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</si>
  <si>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</si>
  <si>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</si>
  <si>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</si>
  <si>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</si>
  <si>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</si>
  <si>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</si>
  <si>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</si>
  <si>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</si>
  <si>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</si>
  <si>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</si>
  <si>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</si>
  <si>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</si>
  <si>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price_import [dollar/acre-foot]</t>
  </si>
  <si>
    <t>info_index</t>
  </si>
  <si>
    <t>info_value</t>
  </si>
  <si>
    <t>source</t>
  </si>
  <si>
    <t>year</t>
  </si>
  <si>
    <t>WATER, IRRIGATION, SOURCE = OFF FARM - EXPENSE, MEASURED IN $ / ACRE FOOT</t>
  </si>
  <si>
    <t>‘Water Irrigation Prices’, USDA/NASS QuickStats, 2018, https://quickstats.nass.usda.gov/results/3DF82D93-87C7-3875-9F76-8DF9F0CCD743.</t>
  </si>
  <si>
    <t>WaterIrrigationPrices2018</t>
  </si>
  <si>
    <t>$ / ACRE FOOT</t>
  </si>
  <si>
    <t>index_zengarden</t>
  </si>
  <si>
    <t>output_fields_zengarden</t>
  </si>
  <si>
    <t>name_carrier_zengarden</t>
  </si>
  <si>
    <t>name_dataset</t>
  </si>
  <si>
    <t>zoterokey</t>
  </si>
  <si>
    <t>unit_input</t>
  </si>
  <si>
    <t>unit_zengarden</t>
  </si>
  <si>
    <t>column_name_input</t>
  </si>
  <si>
    <t>price_import</t>
  </si>
  <si>
    <t>node, price_import, unit</t>
  </si>
  <si>
    <t>blue_water</t>
  </si>
  <si>
    <t>price_import [dollar/m3]</t>
  </si>
  <si>
    <t>conversion_factor_units</t>
  </si>
  <si>
    <t>Dollar/watervolumen</t>
  </si>
  <si>
    <t>conversion_factor_name</t>
  </si>
  <si>
    <t>acre-foot to 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</si>
</sst>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Fill="1"/>
    <xf numFmtId="0" fontId="0" fillId="0" borderId="0" xfId="0" applyAlignment="1">
      <alignment vertical="center" wrapText="1"/>
    </xf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9"/>
  <sheetViews>
    <sheetView workbookViewId="0">
      <selection activeCell="C1" sqref="C1"/>
    </sheetView>
  </sheetViews>
  <sheetFormatPr baseColWidth="10" defaultRowHeight="15" x14ac:dyDescent="0.25"/>
  <cols>
    <col min="2" max="2" width="30.28515625" customWidth="1"/>
    <col min="3" max="3" width="24" customWidth="1"/>
  </cols>
  <sheetData>
    <row r="1" spans="1:3" x14ac:dyDescent="0.25">
      <c r="A1" t="s">
        <v>0</v>
      </c>
      <c r="B1" t="s">
        <v>49</v>
      </c>
      <c r="C1" t="s">
        <v>69</v>
      </c>
    </row>
    <row r="2" spans="1:3" x14ac:dyDescent="0.25">
      <c r="A2" t="s">
        <v>1</v>
      </c>
      <c r="B2">
        <v>495.9</v>
      </c>
      <c r="C2">
        <f>B2/data_info!B$11</f>
        <v>0.4020332717190388</v>
      </c>
    </row>
    <row r="3" spans="1:3" x14ac:dyDescent="0.25">
      <c r="A3" t="s">
        <v>2</v>
      </c>
      <c r="B3">
        <v>165</v>
      </c>
      <c r="C3">
        <f>B3/data_info!B$11</f>
        <v>0.13376787625255374</v>
      </c>
    </row>
    <row r="4" spans="1:3" x14ac:dyDescent="0.25">
      <c r="A4" t="s">
        <v>3</v>
      </c>
      <c r="B4">
        <v>30.18</v>
      </c>
      <c r="C4">
        <f>B4/data_info!B$11</f>
        <v>2.4467360638194376E-2</v>
      </c>
    </row>
    <row r="5" spans="1:3" x14ac:dyDescent="0.25">
      <c r="A5" t="s">
        <v>4</v>
      </c>
      <c r="B5">
        <v>49.62</v>
      </c>
      <c r="C5">
        <f>B5/data_info!B$11</f>
        <v>4.0227648603949798E-2</v>
      </c>
    </row>
    <row r="6" spans="1:3" x14ac:dyDescent="0.25">
      <c r="A6" t="s">
        <v>5</v>
      </c>
      <c r="B6">
        <v>67.97</v>
      </c>
      <c r="C6">
        <f>B6/data_info!B$11</f>
        <v>5.5104257872036835E-2</v>
      </c>
    </row>
    <row r="7" spans="1:3" x14ac:dyDescent="0.25">
      <c r="A7" t="s">
        <v>6</v>
      </c>
      <c r="B7">
        <v>14.19</v>
      </c>
      <c r="C7">
        <f>B7/data_info!B$11</f>
        <v>1.1504037357719621E-2</v>
      </c>
    </row>
    <row r="8" spans="1:3" x14ac:dyDescent="0.25">
      <c r="A8" t="s">
        <v>7</v>
      </c>
      <c r="C8">
        <f>B8/data_info!B$11</f>
        <v>0</v>
      </c>
    </row>
    <row r="9" spans="1:3" x14ac:dyDescent="0.25">
      <c r="A9" t="s">
        <v>8</v>
      </c>
      <c r="B9">
        <v>124.12</v>
      </c>
      <c r="C9">
        <f>B9/data_info!B$11</f>
        <v>0.10062587151798165</v>
      </c>
    </row>
    <row r="10" spans="1:3" x14ac:dyDescent="0.25">
      <c r="A10" t="s">
        <v>9</v>
      </c>
      <c r="B10">
        <v>43.59</v>
      </c>
      <c r="C10">
        <f>B10/data_info!B$11</f>
        <v>3.5339040762720111E-2</v>
      </c>
    </row>
    <row r="11" spans="1:3" x14ac:dyDescent="0.25">
      <c r="A11" t="s">
        <v>10</v>
      </c>
      <c r="B11">
        <v>235.42</v>
      </c>
      <c r="C11">
        <f>B11/data_info!B$11</f>
        <v>0.1908583844083406</v>
      </c>
    </row>
    <row r="12" spans="1:3" x14ac:dyDescent="0.25">
      <c r="A12" t="s">
        <v>11</v>
      </c>
      <c r="B12">
        <v>16.78</v>
      </c>
      <c r="C12">
        <f>B12/data_info!B$11</f>
        <v>1.3603787657683952E-2</v>
      </c>
    </row>
    <row r="13" spans="1:3" x14ac:dyDescent="0.25">
      <c r="A13" t="s">
        <v>12</v>
      </c>
      <c r="B13">
        <v>42.31</v>
      </c>
      <c r="C13">
        <f>B13/data_info!B$11</f>
        <v>3.4301326328760907E-2</v>
      </c>
    </row>
    <row r="14" spans="1:3" x14ac:dyDescent="0.25">
      <c r="A14" t="s">
        <v>13</v>
      </c>
      <c r="B14">
        <v>150</v>
      </c>
      <c r="C14">
        <f>B14/data_info!B$11</f>
        <v>0.12160716022959432</v>
      </c>
    </row>
    <row r="15" spans="1:3" x14ac:dyDescent="0.25">
      <c r="A15" t="s">
        <v>14</v>
      </c>
      <c r="B15">
        <v>62.31</v>
      </c>
      <c r="C15">
        <f>B15/data_info!B$11</f>
        <v>5.0515614359373483E-2</v>
      </c>
    </row>
    <row r="16" spans="1:3" x14ac:dyDescent="0.25">
      <c r="A16" t="s">
        <v>15</v>
      </c>
      <c r="B16">
        <v>41.55</v>
      </c>
      <c r="C16">
        <f>B16/data_info!B$11</f>
        <v>3.3685183383597626E-2</v>
      </c>
    </row>
    <row r="17" spans="1:3" x14ac:dyDescent="0.25">
      <c r="A17" t="s">
        <v>16</v>
      </c>
      <c r="C17">
        <f>B17/data_info!B$11</f>
        <v>0</v>
      </c>
    </row>
    <row r="18" spans="1:3" x14ac:dyDescent="0.25">
      <c r="A18" t="s">
        <v>17</v>
      </c>
      <c r="B18">
        <v>254.17</v>
      </c>
      <c r="C18">
        <f>B18/data_info!B$11</f>
        <v>0.20605927943703992</v>
      </c>
    </row>
    <row r="19" spans="1:3" x14ac:dyDescent="0.25">
      <c r="A19" t="s">
        <v>18</v>
      </c>
      <c r="B19">
        <v>2486.17</v>
      </c>
      <c r="C19">
        <f>B19/data_info!B$11</f>
        <v>2.0155738236534035</v>
      </c>
    </row>
    <row r="20" spans="1:3" x14ac:dyDescent="0.25">
      <c r="A20" t="s">
        <v>19</v>
      </c>
      <c r="B20">
        <v>279.39999999999998</v>
      </c>
      <c r="C20">
        <f>B20/data_info!B$11</f>
        <v>0.22651360378765767</v>
      </c>
    </row>
    <row r="21" spans="1:3" x14ac:dyDescent="0.25">
      <c r="A21" t="s">
        <v>20</v>
      </c>
      <c r="B21">
        <v>432.72</v>
      </c>
      <c r="C21">
        <f>B21/data_info!B$11</f>
        <v>0.35081233583033372</v>
      </c>
    </row>
    <row r="22" spans="1:3" x14ac:dyDescent="0.25">
      <c r="A22" t="s">
        <v>21</v>
      </c>
      <c r="B22">
        <v>836.1</v>
      </c>
      <c r="C22">
        <f>B22/data_info!B$11</f>
        <v>0.67783831111975879</v>
      </c>
    </row>
    <row r="23" spans="1:3" x14ac:dyDescent="0.25">
      <c r="A23" t="s">
        <v>22</v>
      </c>
      <c r="B23">
        <v>135.51</v>
      </c>
      <c r="C23">
        <f>B23/data_info!B$11</f>
        <v>0.1098599085514155</v>
      </c>
    </row>
    <row r="24" spans="1:3" x14ac:dyDescent="0.25">
      <c r="A24" t="s">
        <v>23</v>
      </c>
      <c r="B24">
        <v>257.02</v>
      </c>
      <c r="C24">
        <f>B24/data_info!B$11</f>
        <v>0.20836981548140218</v>
      </c>
    </row>
    <row r="25" spans="1:3" x14ac:dyDescent="0.25">
      <c r="A25" t="s">
        <v>24</v>
      </c>
      <c r="B25">
        <v>14.81</v>
      </c>
      <c r="C25">
        <f>B25/data_info!B$11</f>
        <v>1.2006680286668613E-2</v>
      </c>
    </row>
    <row r="26" spans="1:3" x14ac:dyDescent="0.25">
      <c r="A26" t="s">
        <v>25</v>
      </c>
      <c r="B26">
        <v>32.96</v>
      </c>
      <c r="C26">
        <f>B26/data_info!B$11</f>
        <v>2.6721146674449525E-2</v>
      </c>
    </row>
    <row r="27" spans="1:3" x14ac:dyDescent="0.25">
      <c r="A27" t="s">
        <v>26</v>
      </c>
      <c r="B27">
        <v>11.65</v>
      </c>
      <c r="C27">
        <f>B27/data_info!B$11</f>
        <v>9.4448227778318253E-3</v>
      </c>
    </row>
    <row r="28" spans="1:3" x14ac:dyDescent="0.25">
      <c r="A28" t="s">
        <v>27</v>
      </c>
      <c r="C28">
        <f>B28/data_info!B$11</f>
        <v>0</v>
      </c>
    </row>
    <row r="29" spans="1:3" x14ac:dyDescent="0.25">
      <c r="A29" t="s">
        <v>28</v>
      </c>
      <c r="B29">
        <v>632.42999999999995</v>
      </c>
      <c r="C29">
        <f>B29/data_info!B$11</f>
        <v>0.51272010896001552</v>
      </c>
    </row>
    <row r="30" spans="1:3" x14ac:dyDescent="0.25">
      <c r="A30" t="s">
        <v>29</v>
      </c>
      <c r="B30">
        <v>32.4</v>
      </c>
      <c r="C30">
        <f>B30/data_info!B$11</f>
        <v>2.6267146609592371E-2</v>
      </c>
    </row>
    <row r="31" spans="1:3" x14ac:dyDescent="0.25">
      <c r="A31" t="s">
        <v>30</v>
      </c>
      <c r="B31">
        <v>164.95</v>
      </c>
      <c r="C31">
        <f>B31/data_info!B$11</f>
        <v>0.1337273405324772</v>
      </c>
    </row>
    <row r="32" spans="1:3" x14ac:dyDescent="0.25">
      <c r="A32" t="s">
        <v>31</v>
      </c>
      <c r="B32">
        <v>756.67</v>
      </c>
      <c r="C32">
        <f>B32/data_info!B$11</f>
        <v>0.61344326620618084</v>
      </c>
    </row>
    <row r="33" spans="1:3" x14ac:dyDescent="0.25">
      <c r="A33" t="s">
        <v>32</v>
      </c>
      <c r="B33">
        <v>50.81</v>
      </c>
      <c r="C33">
        <f>B33/data_info!B$11</f>
        <v>4.1192398741771247E-2</v>
      </c>
    </row>
    <row r="34" spans="1:3" x14ac:dyDescent="0.25">
      <c r="A34" t="s">
        <v>33</v>
      </c>
      <c r="B34">
        <v>522.74</v>
      </c>
      <c r="C34">
        <f>B34/data_info!B$11</f>
        <v>0.4237928462561209</v>
      </c>
    </row>
    <row r="35" spans="1:3" x14ac:dyDescent="0.25">
      <c r="A35" t="s">
        <v>34</v>
      </c>
      <c r="B35">
        <v>53.27</v>
      </c>
      <c r="C35">
        <f>B35/data_info!B$11</f>
        <v>4.31867561695366E-2</v>
      </c>
    </row>
    <row r="36" spans="1:3" x14ac:dyDescent="0.25">
      <c r="A36" t="s">
        <v>35</v>
      </c>
      <c r="B36">
        <v>24.22</v>
      </c>
      <c r="C36">
        <f>B36/data_info!B$11</f>
        <v>1.9635502805071828E-2</v>
      </c>
    </row>
    <row r="37" spans="1:3" x14ac:dyDescent="0.25">
      <c r="A37" t="s">
        <v>36</v>
      </c>
      <c r="B37">
        <v>270.41000000000003</v>
      </c>
      <c r="C37">
        <f>B37/data_info!B$11</f>
        <v>0.21922528131789734</v>
      </c>
    </row>
    <row r="38" spans="1:3" x14ac:dyDescent="0.25">
      <c r="A38" t="s">
        <v>37</v>
      </c>
      <c r="B38">
        <v>3625</v>
      </c>
      <c r="C38">
        <f>B38/data_info!B$11</f>
        <v>2.9388397055485291</v>
      </c>
    </row>
    <row r="39" spans="1:3" x14ac:dyDescent="0.25">
      <c r="A39" t="s">
        <v>38</v>
      </c>
      <c r="B39">
        <v>171.07</v>
      </c>
      <c r="C39">
        <f>B39/data_info!B$11</f>
        <v>0.13868891266984465</v>
      </c>
    </row>
    <row r="40" spans="1:3" x14ac:dyDescent="0.25">
      <c r="A40" t="s">
        <v>39</v>
      </c>
      <c r="B40">
        <v>25.38</v>
      </c>
      <c r="C40">
        <f>B40/data_info!B$11</f>
        <v>2.0575931510847356E-2</v>
      </c>
    </row>
    <row r="41" spans="1:3" x14ac:dyDescent="0.25">
      <c r="A41" t="s">
        <v>40</v>
      </c>
      <c r="B41">
        <v>648.63</v>
      </c>
      <c r="C41">
        <f>B41/data_info!B$11</f>
        <v>0.52585368226481177</v>
      </c>
    </row>
    <row r="42" spans="1:3" x14ac:dyDescent="0.25">
      <c r="A42" t="s">
        <v>41</v>
      </c>
      <c r="B42">
        <v>29.83</v>
      </c>
      <c r="C42">
        <f>B42/data_info!B$11</f>
        <v>2.4183610597658656E-2</v>
      </c>
    </row>
    <row r="43" spans="1:3" x14ac:dyDescent="0.25">
      <c r="A43" t="s">
        <v>42</v>
      </c>
      <c r="B43">
        <v>13.48</v>
      </c>
      <c r="C43">
        <f>B43/data_info!B$11</f>
        <v>1.0928430132632876E-2</v>
      </c>
    </row>
    <row r="44" spans="1:3" x14ac:dyDescent="0.25">
      <c r="A44" t="s">
        <v>43</v>
      </c>
      <c r="C44">
        <f>B44/data_info!B$11</f>
        <v>0</v>
      </c>
    </row>
    <row r="45" spans="1:3" x14ac:dyDescent="0.25">
      <c r="A45" t="s">
        <v>44</v>
      </c>
      <c r="B45">
        <v>130.30000000000001</v>
      </c>
      <c r="C45">
        <f>B45/data_info!B$11</f>
        <v>0.10563608651944094</v>
      </c>
    </row>
    <row r="46" spans="1:3" x14ac:dyDescent="0.25">
      <c r="A46" t="s">
        <v>45</v>
      </c>
      <c r="B46">
        <v>39.049999999999997</v>
      </c>
      <c r="C46">
        <f>B46/data_info!B$11</f>
        <v>3.1658397379771053E-2</v>
      </c>
    </row>
    <row r="47" spans="1:3" x14ac:dyDescent="0.25">
      <c r="A47" t="s">
        <v>46</v>
      </c>
      <c r="B47">
        <v>1850</v>
      </c>
      <c r="C47">
        <f>B47/data_info!B$11</f>
        <v>1.4998216428316633</v>
      </c>
    </row>
    <row r="48" spans="1:3" x14ac:dyDescent="0.25">
      <c r="A48" t="s">
        <v>47</v>
      </c>
      <c r="B48">
        <v>201.29</v>
      </c>
      <c r="C48">
        <f>B48/data_info!B$11</f>
        <v>0.16318870188410026</v>
      </c>
    </row>
    <row r="49" spans="1:3" x14ac:dyDescent="0.25">
      <c r="A49" t="s">
        <v>48</v>
      </c>
      <c r="B49">
        <v>8.64</v>
      </c>
      <c r="C49">
        <f>B49/data_info!B$11</f>
        <v>7.004572429224633E-3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tabSelected="1" workbookViewId="0">
      <selection activeCell="B18" sqref="B18"/>
    </sheetView>
  </sheetViews>
  <sheetFormatPr baseColWidth="10" defaultRowHeight="15" x14ac:dyDescent="0.25"/>
  <cols>
    <col min="1" max="1" width="27.7109375" customWidth="1"/>
    <col min="2" max="2" width="48.85546875" customWidth="1"/>
  </cols>
  <sheetData>
    <row r="1" spans="1:2" x14ac:dyDescent="0.25">
      <c r="A1" t="s">
        <v>50</v>
      </c>
      <c r="B1" t="s">
        <v>51</v>
      </c>
    </row>
    <row r="2" spans="1:2" x14ac:dyDescent="0.25">
      <c r="A2" t="s">
        <v>58</v>
      </c>
      <c r="B2" t="s">
        <v>66</v>
      </c>
    </row>
    <row r="3" spans="1:2" x14ac:dyDescent="0.25">
      <c r="A3" t="s">
        <v>59</v>
      </c>
      <c r="B3" t="s">
        <v>67</v>
      </c>
    </row>
    <row r="4" spans="1:2" x14ac:dyDescent="0.25">
      <c r="A4" t="s">
        <v>60</v>
      </c>
      <c r="B4" t="s">
        <v>68</v>
      </c>
    </row>
    <row r="5" spans="1:2" ht="30" x14ac:dyDescent="0.25">
      <c r="A5" t="s">
        <v>61</v>
      </c>
      <c r="B5" s="2" t="s">
        <v>54</v>
      </c>
    </row>
    <row r="6" spans="1:2" x14ac:dyDescent="0.25">
      <c r="A6" t="s">
        <v>52</v>
      </c>
      <c r="B6" s="1" t="s">
        <v>55</v>
      </c>
    </row>
    <row r="7" spans="1:2" x14ac:dyDescent="0.25">
      <c r="A7" t="s">
        <v>62</v>
      </c>
      <c r="B7" t="s">
        <v>56</v>
      </c>
    </row>
    <row r="8" spans="1:2" x14ac:dyDescent="0.25">
      <c r="A8" t="s">
        <v>63</v>
      </c>
      <c r="B8" t="s">
        <v>57</v>
      </c>
    </row>
    <row r="9" spans="1:2" x14ac:dyDescent="0.25">
      <c r="A9" t="s">
        <v>64</v>
      </c>
      <c r="B9" t="s">
        <v>71</v>
      </c>
    </row>
    <row r="10" spans="1:2" x14ac:dyDescent="0.25">
      <c r="A10" t="s">
        <v>72</v>
      </c>
      <c r="B10" t="s">
        <v>73</v>
      </c>
    </row>
    <row r="11" spans="1:2" x14ac:dyDescent="0.25">
      <c r="A11" t="s">
        <v>70</v>
      </c>
      <c r="B11">
        <v>1233.48</v>
      </c>
    </row>
    <row r="12" spans="1:2" x14ac:dyDescent="0.25">
      <c r="A12" t="s">
        <v>65</v>
      </c>
      <c r="B12" t="s">
        <v>69</v>
      </c>
    </row>
    <row r="13" spans="1:2" x14ac:dyDescent="0.25">
      <c r="A13" t="s">
        <v>53</v>
      </c>
      <c r="B13">
        <v>2018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data</vt:lpstr>
      <vt:lpstr>data_info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Jara Späte</dc:creator>
  <cp:lastModifiedBy>Jara Späte</cp:lastModifiedBy>
  <dcterms:created xsi:type="dcterms:W3CDTF">2024-04-18T01:32:57Z</dcterms:created>
  <dcterms:modified xsi:type="dcterms:W3CDTF">2024-04-28T05:04:55Z</dcterms:modified>
</cp:coreProperties>
</file>