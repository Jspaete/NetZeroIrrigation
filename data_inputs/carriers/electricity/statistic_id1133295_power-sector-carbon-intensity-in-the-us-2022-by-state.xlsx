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9"/>
  <workbookPr/>
  <mc:AlternateContent xmlns:mc="http://schemas.openxmlformats.org/markup-compatibility/2006">
    <mc:Choice Requires="x15">
      <x15ac:absPath xmlns:x15ac="http://schemas.microsoft.com/office/spreadsheetml/2010/11/ac" url="D:\Polybox\Master Thesis\Data\Midterm\data_preprossesing2\data_inputs\set_carriers\electricity\"/>
    </mc:Choice>
  </mc:AlternateContent>
  <xr:revisionPtr revIDLastSave="0" documentId="13_ncr:1_{A54FC6AE-1C81-4BE6-8492-32222AE7E270}" xr6:coauthVersionLast="36" xr6:coauthVersionMax="36" xr10:uidLastSave="{00000000-0000-0000-0000-000000000000}"/>
  <bookViews>
    <workbookView xWindow="240" yWindow="120" windowWidth="14940" windowHeight="9225" activeTab="2" xr2:uid="{00000000-000D-0000-FFFF-FFFF00000000}"/>
  </bookViews>
  <sheets>
    <sheet name="Overview" sheetId="1" r:id="rId1"/>
    <sheet name="data" sheetId="2" r:id="rId2"/>
    <sheet name="data_info" sheetId="3" r:id="rId3"/>
  </sheets>
  <calcPr calcId="191029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2" i="2"/>
  <c r="C39" i="1" l="1"/>
</calcChain>
</file>

<file path=xl/sharedStrings.xml><?xml version="1.0" encoding="utf-8"?>
<sst xmlns="http://schemas.openxmlformats.org/spreadsheetml/2006/main" count="111" uniqueCount="101">
  <si>
    <t>Statistic as Excel data file</t>
  </si>
  <si>
    <t>Power sector carbon intensity in the United States in 2022, by state (in pounds of CO₂ per megawatt hour)</t>
  </si>
  <si>
    <t>Access data</t>
  </si>
  <si>
    <t>Source</t>
  </si>
  <si>
    <t>Scott Institute for Energy Innovation</t>
  </si>
  <si>
    <t>Conducted by</t>
  </si>
  <si>
    <t>Survey period</t>
  </si>
  <si>
    <t>2022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</si>
  <si>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</si>
  <si>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</si>
  <si>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</si>
  <si>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</si>
  <si>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</si>
  <si>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</si>
  <si>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</si>
  <si>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</si>
  <si>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*The U.S. power sector Carbon Index is the ratio between the direct emissions generated from all electricity generation sources from the U.S. electricity sector and the total net electricity generation. </t>
  </si>
  <si>
    <t>Description</t>
  </si>
  <si>
    <t>West Virginia had the highest power sector carbon intensity amongst all U.S. states in 2022, at 1,947 pounds of carbon dioxide per megawatt hour of electricity produced (lbs CO₂/MWh). Ranking second that year was Kentucky, which generated 1,733 lbs CO₂/MWh. In 2021, total power sector emissions in these two states were 58 and 56 MtCO₂ in 2021, respectively. 
 What is carbon intensity within the power sector? 
The metric carbon intensity refers to the volume of CO₂ released per unit of electricity generated. It is a measure of how carbon-efficient energy generation is and can differ greatly depending on the energy source used. For example, the carbon intensities of fossil fuels – such as coal – is higher than renewable energy sources due the combustion process that releases CO₂.
 Carbon intensity of the U.S. power sector 
Since the turn of the century, the carbon intensity of the U.S. power sector has been on a mostly downward trend, dropping to a low of 804 lbs CO₂/MWh in 2022. This decline is attributable to several factors, such as the transition from coal to gas and increased power generation from renewables.</t>
  </si>
  <si>
    <t>Publication</t>
  </si>
  <si>
    <t>Published by</t>
  </si>
  <si>
    <t>Publication date</t>
  </si>
  <si>
    <t>April 2023</t>
  </si>
  <si>
    <t>Original source</t>
  </si>
  <si>
    <t>emissionsindex.org</t>
  </si>
  <si>
    <t>ID</t>
  </si>
  <si>
    <t>1133295</t>
  </si>
  <si>
    <t>WV</t>
  </si>
  <si>
    <t>KY</t>
  </si>
  <si>
    <t>WY</t>
  </si>
  <si>
    <t>MO</t>
  </si>
  <si>
    <t>IN</t>
  </si>
  <si>
    <t>UT</t>
  </si>
  <si>
    <t>ND</t>
  </si>
  <si>
    <t>HI</t>
  </si>
  <si>
    <t>NE</t>
  </si>
  <si>
    <t>OH</t>
  </si>
  <si>
    <t>WI</t>
  </si>
  <si>
    <t>CO</t>
  </si>
  <si>
    <t>MI</t>
  </si>
  <si>
    <t>MT</t>
  </si>
  <si>
    <t>AR</t>
  </si>
  <si>
    <t>NM</t>
  </si>
  <si>
    <t>AK</t>
  </si>
  <si>
    <t>DE</t>
  </si>
  <si>
    <t>MS</t>
  </si>
  <si>
    <t>LA</t>
  </si>
  <si>
    <t>RI</t>
  </si>
  <si>
    <t>KS</t>
  </si>
  <si>
    <t>FL</t>
  </si>
  <si>
    <t>TX</t>
  </si>
  <si>
    <t>MA</t>
  </si>
  <si>
    <t>MN</t>
  </si>
  <si>
    <t>AL</t>
  </si>
  <si>
    <t>GA</t>
  </si>
  <si>
    <t>PA</t>
  </si>
  <si>
    <t>OK</t>
  </si>
  <si>
    <t>NV</t>
  </si>
  <si>
    <t>TN</t>
  </si>
  <si>
    <t>AZ</t>
  </si>
  <si>
    <t>NC</t>
  </si>
  <si>
    <t>IA</t>
  </si>
  <si>
    <t>MD</t>
  </si>
  <si>
    <t>IL</t>
  </si>
  <si>
    <t>VA</t>
  </si>
  <si>
    <t>SC</t>
  </si>
  <si>
    <t>CT</t>
  </si>
  <si>
    <t>NY</t>
  </si>
  <si>
    <t>NJ</t>
  </si>
  <si>
    <t>CA</t>
  </si>
  <si>
    <t>ME</t>
  </si>
  <si>
    <t>NH</t>
  </si>
  <si>
    <t>SD</t>
  </si>
  <si>
    <t>OR</t>
  </si>
  <si>
    <t>WA</t>
  </si>
  <si>
    <t>VT</t>
  </si>
  <si>
    <t>pounds to kg</t>
  </si>
  <si>
    <t>State</t>
  </si>
  <si>
    <t>year</t>
  </si>
  <si>
    <t>Power sector carbon intensity of us grid [pounds of CO2/MWh]</t>
  </si>
  <si>
    <t>carbon intensity us grid [kg of CO2/MWh]</t>
  </si>
  <si>
    <t>mean all data points kg/MWh</t>
  </si>
  <si>
    <t>info_index</t>
  </si>
  <si>
    <t>index_zengarden</t>
  </si>
  <si>
    <t>output_fields_zengarden</t>
  </si>
  <si>
    <t>name_dataset</t>
  </si>
  <si>
    <t>source</t>
  </si>
  <si>
    <t>zoterokey</t>
  </si>
  <si>
    <t>info_value</t>
  </si>
  <si>
    <t>scottinstituteforenergyinnovationPowerSectorCarbon2023</t>
  </si>
  <si>
    <t>Scott Institute for Energy Innovation, ‘Power Sector Carbon Intensity in the United States in 2022, by State (in Pounds of CO2 per Megawatt Hour)’, Statista, 2023, https://www.statista.com/statistics/1133295/electric-sector-carbon-dioxide-emission-rate-by-state-united-states/.</t>
  </si>
  <si>
    <t>pounds of CO2/MWh</t>
  </si>
  <si>
    <t>unit_input</t>
  </si>
  <si>
    <t>unit_zengarden</t>
  </si>
  <si>
    <t>column_name_input</t>
  </si>
  <si>
    <t>carbon_intensity</t>
  </si>
  <si>
    <t>electricity</t>
  </si>
  <si>
    <t>name_carrier_zengarden</t>
  </si>
  <si>
    <t>node, carbon_intensity, unit</t>
  </si>
  <si>
    <t>kg/MWh</t>
  </si>
  <si>
    <t>conversion_factor_units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</si>
</sst>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</numFmts>
  <fonts count="5" x14ac:knownFonts="1">
    <font>
      <sz val="10"/>
      <name val="Arial"/>
      <family val="2"/>
    </font>
    <font>
      <b/>
      <sz val="10"/>
      <name val="Arial"/>
      <family val="2"/>
    </font>
    <font>
      <u/>
      <sz val="10"/>
      <color rgb="FF0000FF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</cellStyleXfs>
  <cellXfs count="12">
    <xf numFmtId="0" fontId="0" fillId="0" borderId="0" xfId="0"/>
    <xf numFmtId="0" fontId="1" fillId="0" borderId="0" xfId="6" applyNumberFormat="1" applyFont="1" applyFill="1" applyBorder="1" applyAlignment="1" applyProtection="1">
      <alignment horizontal="left" vertical="center"/>
    </xf>
    <xf numFmtId="0" fontId="0" fillId="0" borderId="0" xfId="6" applyNumberFormat="1" applyFont="1" applyFill="1" applyBorder="1" applyAlignment="1" applyProtection="1">
      <alignment horizontal="left" vertical="center"/>
    </xf>
    <xf numFmtId="0" fontId="2" fillId="0" borderId="0" xfId="6" applyFont="1"/>
    <xf numFmtId="0" fontId="3" fillId="0" borderId="0" xfId="6" applyNumberFormat="1" applyFont="1" applyFill="1" applyBorder="1" applyAlignment="1" applyProtection="1">
      <alignment horizontal="left" vertical="center"/>
    </xf>
    <xf numFmtId="0" fontId="0" fillId="0" borderId="0" xfId="6" applyNumberFormat="1" applyFont="1" applyFill="1" applyBorder="1" applyAlignment="1" applyProtection="1">
      <alignment horizontal="left" vertical="center" wrapText="1"/>
    </xf>
    <xf numFmtId="3" fontId="0" fillId="0" borderId="0" xfId="6" applyNumberFormat="1" applyFont="1" applyFill="1" applyBorder="1" applyAlignment="1" applyProtection="1">
      <alignment horizontal="right" vertical="center"/>
    </xf>
    <xf numFmtId="0" fontId="0" fillId="0" borderId="0" xfId="0"/>
    <xf numFmtId="0" fontId="0" fillId="0" borderId="0" xfId="0"/>
    <xf numFmtId="0" fontId="0" fillId="0" borderId="0" xfId="0" applyFill="1"/>
    <xf numFmtId="0" fontId="0" fillId="0" borderId="0" xfId="6" applyNumberFormat="1" applyFont="1" applyFill="1" applyBorder="1" applyAlignment="1" applyProtection="1">
      <alignment horizontal="left" vertical="top" wrapText="1"/>
    </xf>
    <xf numFmtId="0" fontId="0" fillId="0" borderId="0" xfId="0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atista.com/statistics/1133295/electric-sector-carbon-dioxide-emission-rate-by-state-united-st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208"/>
  <sheetViews>
    <sheetView showGridLines="0" topLeftCell="A26" workbookViewId="0">
      <selection activeCell="C38" sqref="C38"/>
    </sheetView>
  </sheetViews>
  <sheetFormatPr baseColWidth="10" defaultColWidth="9.140625" defaultRowHeight="12.75" x14ac:dyDescent="0.2"/>
  <cols>
    <col min="2" max="2" width="25.7109375" customWidth="1"/>
    <col min="3" max="3" width="70.7109375" customWidth="1"/>
  </cols>
  <sheetData>
    <row r="3" spans="2:10" x14ac:dyDescent="0.2">
      <c r="B3" s="1" t="s">
        <v>0</v>
      </c>
    </row>
    <row r="4" spans="2:10" x14ac:dyDescent="0.2">
      <c r="B4" s="2" t="s">
        <v>1</v>
      </c>
    </row>
    <row r="5" spans="2:10" x14ac:dyDescent="0.2">
      <c r="B5" s="3" t="s">
        <v>2</v>
      </c>
    </row>
    <row r="8" spans="2:10" x14ac:dyDescent="0.2">
      <c r="B8" s="1" t="s">
        <v>3</v>
      </c>
      <c r="E8" s="1" t="s">
        <v>17</v>
      </c>
    </row>
    <row r="9" spans="2:10" x14ac:dyDescent="0.2">
      <c r="E9" s="10" t="s">
        <v>18</v>
      </c>
      <c r="F9" s="11"/>
      <c r="G9" s="11"/>
      <c r="H9" s="11"/>
      <c r="I9" s="11"/>
      <c r="J9" s="11"/>
    </row>
    <row r="10" spans="2:10" x14ac:dyDescent="0.2">
      <c r="B10" s="2" t="s">
        <v>3</v>
      </c>
      <c r="C10" s="2" t="s">
        <v>4</v>
      </c>
      <c r="E10" s="11"/>
      <c r="F10" s="11"/>
      <c r="G10" s="11"/>
      <c r="H10" s="11"/>
      <c r="I10" s="11"/>
      <c r="J10" s="11"/>
    </row>
    <row r="11" spans="2:10" x14ac:dyDescent="0.2">
      <c r="B11" s="2" t="s">
        <v>5</v>
      </c>
      <c r="C11" s="2" t="s">
        <v>4</v>
      </c>
      <c r="E11" s="11"/>
      <c r="F11" s="11"/>
      <c r="G11" s="11"/>
      <c r="H11" s="11"/>
      <c r="I11" s="11"/>
      <c r="J11" s="11"/>
    </row>
    <row r="12" spans="2:10" x14ac:dyDescent="0.2">
      <c r="B12" s="2" t="s">
        <v>6</v>
      </c>
      <c r="C12" s="2" t="s">
        <v>7</v>
      </c>
      <c r="E12" s="11"/>
      <c r="F12" s="11"/>
      <c r="G12" s="11"/>
      <c r="H12" s="11"/>
      <c r="I12" s="11"/>
      <c r="J12" s="11"/>
    </row>
    <row r="13" spans="2:10" x14ac:dyDescent="0.2">
      <c r="B13" s="2" t="s">
        <v>8</v>
      </c>
      <c r="C13" s="2" t="s">
        <v>9</v>
      </c>
      <c r="E13" s="11"/>
      <c r="F13" s="11"/>
      <c r="G13" s="11"/>
      <c r="H13" s="11"/>
      <c r="I13" s="11"/>
      <c r="J13" s="11"/>
    </row>
    <row r="14" spans="2:10" x14ac:dyDescent="0.2">
      <c r="B14" s="2" t="s">
        <v>10</v>
      </c>
      <c r="C14" s="4" t="s">
        <v>11</v>
      </c>
      <c r="E14" s="11"/>
      <c r="F14" s="11"/>
      <c r="G14" s="11"/>
      <c r="H14" s="11"/>
      <c r="I14" s="11"/>
      <c r="J14" s="11"/>
    </row>
    <row r="15" spans="2:10" x14ac:dyDescent="0.2">
      <c r="B15" s="2" t="s">
        <v>12</v>
      </c>
      <c r="C15" s="4" t="s">
        <v>11</v>
      </c>
      <c r="E15" s="11"/>
      <c r="F15" s="11"/>
      <c r="G15" s="11"/>
      <c r="H15" s="11"/>
      <c r="I15" s="11"/>
      <c r="J15" s="11"/>
    </row>
    <row r="16" spans="2:10" x14ac:dyDescent="0.2">
      <c r="B16" s="2" t="s">
        <v>13</v>
      </c>
      <c r="C16" s="4" t="s">
        <v>11</v>
      </c>
      <c r="E16" s="11"/>
      <c r="F16" s="11"/>
      <c r="G16" s="11"/>
      <c r="H16" s="11"/>
      <c r="I16" s="11"/>
      <c r="J16" s="11"/>
    </row>
    <row r="17" spans="2:10" x14ac:dyDescent="0.2">
      <c r="B17" s="2" t="s">
        <v>14</v>
      </c>
      <c r="C17" s="4" t="s">
        <v>11</v>
      </c>
      <c r="E17" s="11"/>
      <c r="F17" s="11"/>
      <c r="G17" s="11"/>
      <c r="H17" s="11"/>
      <c r="I17" s="11"/>
      <c r="J17" s="11"/>
    </row>
    <row r="18" spans="2:10" ht="38.25" x14ac:dyDescent="0.2">
      <c r="B18" s="5" t="s">
        <v>15</v>
      </c>
      <c r="C18" s="5" t="s">
        <v>16</v>
      </c>
      <c r="E18" s="11"/>
      <c r="F18" s="11"/>
      <c r="G18" s="11"/>
      <c r="H18" s="11"/>
      <c r="I18" s="11"/>
      <c r="J18" s="11"/>
    </row>
    <row r="19" spans="2:10" x14ac:dyDescent="0.2">
      <c r="E19" s="11"/>
      <c r="F19" s="11"/>
      <c r="G19" s="11"/>
      <c r="H19" s="11"/>
      <c r="I19" s="11"/>
      <c r="J19" s="11"/>
    </row>
    <row r="20" spans="2:10" x14ac:dyDescent="0.2">
      <c r="B20" s="1" t="s">
        <v>19</v>
      </c>
      <c r="E20" s="11"/>
      <c r="F20" s="11"/>
      <c r="G20" s="11"/>
      <c r="H20" s="11"/>
      <c r="I20" s="11"/>
      <c r="J20" s="11"/>
    </row>
    <row r="21" spans="2:10" x14ac:dyDescent="0.2">
      <c r="E21" s="11"/>
      <c r="F21" s="11"/>
      <c r="G21" s="11"/>
      <c r="H21" s="11"/>
      <c r="I21" s="11"/>
      <c r="J21" s="11"/>
    </row>
    <row r="22" spans="2:10" x14ac:dyDescent="0.2">
      <c r="B22" s="2" t="s">
        <v>20</v>
      </c>
      <c r="C22" s="2" t="s">
        <v>4</v>
      </c>
      <c r="E22" s="11"/>
      <c r="F22" s="11"/>
      <c r="G22" s="11"/>
      <c r="H22" s="11"/>
      <c r="I22" s="11"/>
      <c r="J22" s="11"/>
    </row>
    <row r="23" spans="2:10" x14ac:dyDescent="0.2">
      <c r="B23" s="2" t="s">
        <v>21</v>
      </c>
      <c r="C23" s="2" t="s">
        <v>22</v>
      </c>
      <c r="E23" s="11"/>
      <c r="F23" s="11"/>
      <c r="G23" s="11"/>
      <c r="H23" s="11"/>
      <c r="I23" s="11"/>
      <c r="J23" s="11"/>
    </row>
    <row r="24" spans="2:10" x14ac:dyDescent="0.2">
      <c r="B24" s="2" t="s">
        <v>23</v>
      </c>
      <c r="C24" s="2" t="s">
        <v>24</v>
      </c>
      <c r="E24" s="11"/>
      <c r="F24" s="11"/>
      <c r="G24" s="11"/>
      <c r="H24" s="11"/>
      <c r="I24" s="11"/>
      <c r="J24" s="11"/>
    </row>
    <row r="25" spans="2:10" x14ac:dyDescent="0.2">
      <c r="B25" s="2" t="s">
        <v>25</v>
      </c>
      <c r="C25" s="3" t="s">
        <v>26</v>
      </c>
      <c r="E25" s="11"/>
      <c r="F25" s="11"/>
      <c r="G25" s="11"/>
      <c r="H25" s="11"/>
      <c r="I25" s="11"/>
      <c r="J25" s="11"/>
    </row>
    <row r="26" spans="2:10" x14ac:dyDescent="0.2">
      <c r="E26" s="11"/>
      <c r="F26" s="11"/>
      <c r="G26" s="11"/>
      <c r="H26" s="11"/>
      <c r="I26" s="11"/>
      <c r="J26" s="11"/>
    </row>
    <row r="27" spans="2:10" x14ac:dyDescent="0.2">
      <c r="E27" s="11"/>
      <c r="F27" s="11"/>
      <c r="G27" s="11"/>
      <c r="H27" s="11"/>
      <c r="I27" s="11"/>
      <c r="J27" s="11"/>
    </row>
    <row r="28" spans="2:10" x14ac:dyDescent="0.2">
      <c r="E28" s="11"/>
      <c r="F28" s="11"/>
      <c r="G28" s="11"/>
      <c r="H28" s="11"/>
      <c r="I28" s="11"/>
      <c r="J28" s="11"/>
    </row>
    <row r="29" spans="2:10" x14ac:dyDescent="0.2">
      <c r="E29" s="11"/>
      <c r="F29" s="11"/>
      <c r="G29" s="11"/>
      <c r="H29" s="11"/>
      <c r="I29" s="11"/>
      <c r="J29" s="11"/>
    </row>
    <row r="30" spans="2:10" x14ac:dyDescent="0.2">
      <c r="E30" s="11"/>
      <c r="F30" s="11"/>
      <c r="G30" s="11"/>
      <c r="H30" s="11"/>
      <c r="I30" s="11"/>
      <c r="J30" s="11"/>
    </row>
    <row r="31" spans="2:10" x14ac:dyDescent="0.2">
      <c r="E31" s="11"/>
      <c r="F31" s="11"/>
      <c r="G31" s="11"/>
      <c r="H31" s="11"/>
      <c r="I31" s="11"/>
      <c r="J31" s="11"/>
    </row>
    <row r="32" spans="2:10" x14ac:dyDescent="0.2">
      <c r="E32" s="11"/>
      <c r="F32" s="11"/>
      <c r="G32" s="11"/>
      <c r="H32" s="11"/>
      <c r="I32" s="11"/>
      <c r="J32" s="11"/>
    </row>
    <row r="33" spans="2:10" x14ac:dyDescent="0.2">
      <c r="E33" s="11"/>
      <c r="F33" s="11"/>
      <c r="G33" s="11"/>
      <c r="H33" s="11"/>
      <c r="I33" s="11"/>
      <c r="J33" s="11"/>
    </row>
    <row r="34" spans="2:10" x14ac:dyDescent="0.2">
      <c r="E34" s="11"/>
      <c r="F34" s="11"/>
      <c r="G34" s="11"/>
      <c r="H34" s="11"/>
      <c r="I34" s="11"/>
      <c r="J34" s="11"/>
    </row>
    <row r="35" spans="2:10" x14ac:dyDescent="0.2">
      <c r="E35" s="11"/>
      <c r="F35" s="11"/>
      <c r="G35" s="11"/>
      <c r="H35" s="11"/>
      <c r="I35" s="11"/>
      <c r="J35" s="11"/>
    </row>
    <row r="36" spans="2:10" x14ac:dyDescent="0.2">
      <c r="E36" s="11"/>
      <c r="F36" s="11"/>
      <c r="G36" s="11"/>
      <c r="H36" s="11"/>
      <c r="I36" s="11"/>
      <c r="J36" s="11"/>
    </row>
    <row r="37" spans="2:10" x14ac:dyDescent="0.2">
      <c r="E37" s="11"/>
      <c r="F37" s="11"/>
      <c r="G37" s="11"/>
      <c r="H37" s="11"/>
      <c r="I37" s="11"/>
      <c r="J37" s="11"/>
    </row>
    <row r="38" spans="2:10" x14ac:dyDescent="0.2">
      <c r="B38" t="s">
        <v>76</v>
      </c>
      <c r="C38">
        <v>0.453592</v>
      </c>
      <c r="E38" s="11"/>
      <c r="F38" s="11"/>
      <c r="G38" s="11"/>
      <c r="H38" s="11"/>
      <c r="I38" s="11"/>
      <c r="J38" s="11"/>
    </row>
    <row r="39" spans="2:10" x14ac:dyDescent="0.2">
      <c r="B39" t="s">
        <v>81</v>
      </c>
      <c r="C39">
        <f>AVERAGE(data!C2:C51)</f>
        <v>374.63070463999998</v>
      </c>
      <c r="E39" s="11"/>
      <c r="F39" s="11"/>
      <c r="G39" s="11"/>
      <c r="H39" s="11"/>
      <c r="I39" s="11"/>
      <c r="J39" s="11"/>
    </row>
    <row r="40" spans="2:10" x14ac:dyDescent="0.2">
      <c r="E40" s="11"/>
      <c r="F40" s="11"/>
      <c r="G40" s="11"/>
      <c r="H40" s="11"/>
      <c r="I40" s="11"/>
      <c r="J40" s="11"/>
    </row>
    <row r="41" spans="2:10" x14ac:dyDescent="0.2">
      <c r="E41" s="11"/>
      <c r="F41" s="11"/>
      <c r="G41" s="11"/>
      <c r="H41" s="11"/>
      <c r="I41" s="11"/>
      <c r="J41" s="11"/>
    </row>
    <row r="42" spans="2:10" x14ac:dyDescent="0.2">
      <c r="E42" s="11"/>
      <c r="F42" s="11"/>
      <c r="G42" s="11"/>
      <c r="H42" s="11"/>
      <c r="I42" s="11"/>
      <c r="J42" s="11"/>
    </row>
    <row r="43" spans="2:10" x14ac:dyDescent="0.2">
      <c r="E43" s="11"/>
      <c r="F43" s="11"/>
      <c r="G43" s="11"/>
      <c r="H43" s="11"/>
      <c r="I43" s="11"/>
      <c r="J43" s="11"/>
    </row>
    <row r="44" spans="2:10" x14ac:dyDescent="0.2">
      <c r="E44" s="11"/>
      <c r="F44" s="11"/>
      <c r="G44" s="11"/>
      <c r="H44" s="11"/>
      <c r="I44" s="11"/>
      <c r="J44" s="11"/>
    </row>
    <row r="45" spans="2:10" x14ac:dyDescent="0.2">
      <c r="E45" s="11"/>
      <c r="F45" s="11"/>
      <c r="G45" s="11"/>
      <c r="H45" s="11"/>
      <c r="I45" s="11"/>
      <c r="J45" s="11"/>
    </row>
    <row r="46" spans="2:10" x14ac:dyDescent="0.2">
      <c r="E46" s="11"/>
      <c r="F46" s="11"/>
      <c r="G46" s="11"/>
      <c r="H46" s="11"/>
      <c r="I46" s="11"/>
      <c r="J46" s="11"/>
    </row>
    <row r="47" spans="2:10" x14ac:dyDescent="0.2">
      <c r="E47" s="11"/>
      <c r="F47" s="11"/>
      <c r="G47" s="11"/>
      <c r="H47" s="11"/>
      <c r="I47" s="11"/>
      <c r="J47" s="11"/>
    </row>
    <row r="48" spans="2:10" x14ac:dyDescent="0.2">
      <c r="E48" s="11"/>
      <c r="F48" s="11"/>
      <c r="G48" s="11"/>
      <c r="H48" s="11"/>
      <c r="I48" s="11"/>
      <c r="J48" s="11"/>
    </row>
    <row r="49" spans="5:10" x14ac:dyDescent="0.2">
      <c r="E49" s="11"/>
      <c r="F49" s="11"/>
      <c r="G49" s="11"/>
      <c r="H49" s="11"/>
      <c r="I49" s="11"/>
      <c r="J49" s="11"/>
    </row>
    <row r="50" spans="5:10" x14ac:dyDescent="0.2">
      <c r="E50" s="11"/>
      <c r="F50" s="11"/>
      <c r="G50" s="11"/>
      <c r="H50" s="11"/>
      <c r="I50" s="11"/>
      <c r="J50" s="11"/>
    </row>
    <row r="51" spans="5:10" x14ac:dyDescent="0.2">
      <c r="E51" s="11"/>
      <c r="F51" s="11"/>
      <c r="G51" s="11"/>
      <c r="H51" s="11"/>
      <c r="I51" s="11"/>
      <c r="J51" s="11"/>
    </row>
    <row r="52" spans="5:10" x14ac:dyDescent="0.2">
      <c r="E52" s="11"/>
      <c r="F52" s="11"/>
      <c r="G52" s="11"/>
      <c r="H52" s="11"/>
      <c r="I52" s="11"/>
      <c r="J52" s="11"/>
    </row>
    <row r="53" spans="5:10" x14ac:dyDescent="0.2">
      <c r="E53" s="11"/>
      <c r="F53" s="11"/>
      <c r="G53" s="11"/>
      <c r="H53" s="11"/>
      <c r="I53" s="11"/>
      <c r="J53" s="11"/>
    </row>
    <row r="54" spans="5:10" x14ac:dyDescent="0.2">
      <c r="E54" s="11"/>
      <c r="F54" s="11"/>
      <c r="G54" s="11"/>
      <c r="H54" s="11"/>
      <c r="I54" s="11"/>
      <c r="J54" s="11"/>
    </row>
    <row r="55" spans="5:10" x14ac:dyDescent="0.2">
      <c r="E55" s="11"/>
      <c r="F55" s="11"/>
      <c r="G55" s="11"/>
      <c r="H55" s="11"/>
      <c r="I55" s="11"/>
      <c r="J55" s="11"/>
    </row>
    <row r="56" spans="5:10" x14ac:dyDescent="0.2">
      <c r="E56" s="11"/>
      <c r="F56" s="11"/>
      <c r="G56" s="11"/>
      <c r="H56" s="11"/>
      <c r="I56" s="11"/>
      <c r="J56" s="11"/>
    </row>
    <row r="57" spans="5:10" x14ac:dyDescent="0.2">
      <c r="E57" s="11"/>
      <c r="F57" s="11"/>
      <c r="G57" s="11"/>
      <c r="H57" s="11"/>
      <c r="I57" s="11"/>
      <c r="J57" s="11"/>
    </row>
    <row r="58" spans="5:10" x14ac:dyDescent="0.2">
      <c r="E58" s="11"/>
      <c r="F58" s="11"/>
      <c r="G58" s="11"/>
      <c r="H58" s="11"/>
      <c r="I58" s="11"/>
      <c r="J58" s="11"/>
    </row>
    <row r="59" spans="5:10" x14ac:dyDescent="0.2">
      <c r="E59" s="11"/>
      <c r="F59" s="11"/>
      <c r="G59" s="11"/>
      <c r="H59" s="11"/>
      <c r="I59" s="11"/>
      <c r="J59" s="11"/>
    </row>
    <row r="60" spans="5:10" x14ac:dyDescent="0.2">
      <c r="E60" s="11"/>
      <c r="F60" s="11"/>
      <c r="G60" s="11"/>
      <c r="H60" s="11"/>
      <c r="I60" s="11"/>
      <c r="J60" s="11"/>
    </row>
    <row r="61" spans="5:10" x14ac:dyDescent="0.2">
      <c r="E61" s="11"/>
      <c r="F61" s="11"/>
      <c r="G61" s="11"/>
      <c r="H61" s="11"/>
      <c r="I61" s="11"/>
      <c r="J61" s="11"/>
    </row>
    <row r="62" spans="5:10" x14ac:dyDescent="0.2">
      <c r="E62" s="11"/>
      <c r="F62" s="11"/>
      <c r="G62" s="11"/>
      <c r="H62" s="11"/>
      <c r="I62" s="11"/>
      <c r="J62" s="11"/>
    </row>
    <row r="63" spans="5:10" x14ac:dyDescent="0.2">
      <c r="E63" s="11"/>
      <c r="F63" s="11"/>
      <c r="G63" s="11"/>
      <c r="H63" s="11"/>
      <c r="I63" s="11"/>
      <c r="J63" s="11"/>
    </row>
    <row r="64" spans="5:10" x14ac:dyDescent="0.2">
      <c r="E64" s="11"/>
      <c r="F64" s="11"/>
      <c r="G64" s="11"/>
      <c r="H64" s="11"/>
      <c r="I64" s="11"/>
      <c r="J64" s="11"/>
    </row>
    <row r="65" spans="5:10" x14ac:dyDescent="0.2">
      <c r="E65" s="11"/>
      <c r="F65" s="11"/>
      <c r="G65" s="11"/>
      <c r="H65" s="11"/>
      <c r="I65" s="11"/>
      <c r="J65" s="11"/>
    </row>
    <row r="66" spans="5:10" x14ac:dyDescent="0.2">
      <c r="E66" s="11"/>
      <c r="F66" s="11"/>
      <c r="G66" s="11"/>
      <c r="H66" s="11"/>
      <c r="I66" s="11"/>
      <c r="J66" s="11"/>
    </row>
    <row r="67" spans="5:10" x14ac:dyDescent="0.2">
      <c r="E67" s="11"/>
      <c r="F67" s="11"/>
      <c r="G67" s="11"/>
      <c r="H67" s="11"/>
      <c r="I67" s="11"/>
      <c r="J67" s="11"/>
    </row>
    <row r="68" spans="5:10" x14ac:dyDescent="0.2">
      <c r="E68" s="11"/>
      <c r="F68" s="11"/>
      <c r="G68" s="11"/>
      <c r="H68" s="11"/>
      <c r="I68" s="11"/>
      <c r="J68" s="11"/>
    </row>
    <row r="69" spans="5:10" x14ac:dyDescent="0.2">
      <c r="E69" s="11"/>
      <c r="F69" s="11"/>
      <c r="G69" s="11"/>
      <c r="H69" s="11"/>
      <c r="I69" s="11"/>
      <c r="J69" s="11"/>
    </row>
    <row r="70" spans="5:10" x14ac:dyDescent="0.2">
      <c r="E70" s="11"/>
      <c r="F70" s="11"/>
      <c r="G70" s="11"/>
      <c r="H70" s="11"/>
      <c r="I70" s="11"/>
      <c r="J70" s="11"/>
    </row>
    <row r="71" spans="5:10" x14ac:dyDescent="0.2">
      <c r="E71" s="11"/>
      <c r="F71" s="11"/>
      <c r="G71" s="11"/>
      <c r="H71" s="11"/>
      <c r="I71" s="11"/>
      <c r="J71" s="11"/>
    </row>
    <row r="72" spans="5:10" x14ac:dyDescent="0.2">
      <c r="E72" s="11"/>
      <c r="F72" s="11"/>
      <c r="G72" s="11"/>
      <c r="H72" s="11"/>
      <c r="I72" s="11"/>
      <c r="J72" s="11"/>
    </row>
    <row r="73" spans="5:10" x14ac:dyDescent="0.2">
      <c r="E73" s="11"/>
      <c r="F73" s="11"/>
      <c r="G73" s="11"/>
      <c r="H73" s="11"/>
      <c r="I73" s="11"/>
      <c r="J73" s="11"/>
    </row>
    <row r="74" spans="5:10" x14ac:dyDescent="0.2">
      <c r="E74" s="11"/>
      <c r="F74" s="11"/>
      <c r="G74" s="11"/>
      <c r="H74" s="11"/>
      <c r="I74" s="11"/>
      <c r="J74" s="11"/>
    </row>
    <row r="75" spans="5:10" x14ac:dyDescent="0.2">
      <c r="E75" s="11"/>
      <c r="F75" s="11"/>
      <c r="G75" s="11"/>
      <c r="H75" s="11"/>
      <c r="I75" s="11"/>
      <c r="J75" s="11"/>
    </row>
    <row r="76" spans="5:10" x14ac:dyDescent="0.2">
      <c r="E76" s="11"/>
      <c r="F76" s="11"/>
      <c r="G76" s="11"/>
      <c r="H76" s="11"/>
      <c r="I76" s="11"/>
      <c r="J76" s="11"/>
    </row>
    <row r="77" spans="5:10" x14ac:dyDescent="0.2">
      <c r="E77" s="11"/>
      <c r="F77" s="11"/>
      <c r="G77" s="11"/>
      <c r="H77" s="11"/>
      <c r="I77" s="11"/>
      <c r="J77" s="11"/>
    </row>
    <row r="78" spans="5:10" x14ac:dyDescent="0.2">
      <c r="E78" s="11"/>
      <c r="F78" s="11"/>
      <c r="G78" s="11"/>
      <c r="H78" s="11"/>
      <c r="I78" s="11"/>
      <c r="J78" s="11"/>
    </row>
    <row r="79" spans="5:10" x14ac:dyDescent="0.2">
      <c r="E79" s="11"/>
      <c r="F79" s="11"/>
      <c r="G79" s="11"/>
      <c r="H79" s="11"/>
      <c r="I79" s="11"/>
      <c r="J79" s="11"/>
    </row>
    <row r="80" spans="5:10" x14ac:dyDescent="0.2">
      <c r="E80" s="11"/>
      <c r="F80" s="11"/>
      <c r="G80" s="11"/>
      <c r="H80" s="11"/>
      <c r="I80" s="11"/>
      <c r="J80" s="11"/>
    </row>
    <row r="81" spans="5:10" x14ac:dyDescent="0.2">
      <c r="E81" s="11"/>
      <c r="F81" s="11"/>
      <c r="G81" s="11"/>
      <c r="H81" s="11"/>
      <c r="I81" s="11"/>
      <c r="J81" s="11"/>
    </row>
    <row r="82" spans="5:10" x14ac:dyDescent="0.2">
      <c r="E82" s="11"/>
      <c r="F82" s="11"/>
      <c r="G82" s="11"/>
      <c r="H82" s="11"/>
      <c r="I82" s="11"/>
      <c r="J82" s="11"/>
    </row>
    <row r="83" spans="5:10" x14ac:dyDescent="0.2">
      <c r="E83" s="11"/>
      <c r="F83" s="11"/>
      <c r="G83" s="11"/>
      <c r="H83" s="11"/>
      <c r="I83" s="11"/>
      <c r="J83" s="11"/>
    </row>
    <row r="84" spans="5:10" x14ac:dyDescent="0.2">
      <c r="E84" s="11"/>
      <c r="F84" s="11"/>
      <c r="G84" s="11"/>
      <c r="H84" s="11"/>
      <c r="I84" s="11"/>
      <c r="J84" s="11"/>
    </row>
    <row r="85" spans="5:10" x14ac:dyDescent="0.2">
      <c r="E85" s="11"/>
      <c r="F85" s="11"/>
      <c r="G85" s="11"/>
      <c r="H85" s="11"/>
      <c r="I85" s="11"/>
      <c r="J85" s="11"/>
    </row>
    <row r="86" spans="5:10" x14ac:dyDescent="0.2">
      <c r="E86" s="11"/>
      <c r="F86" s="11"/>
      <c r="G86" s="11"/>
      <c r="H86" s="11"/>
      <c r="I86" s="11"/>
      <c r="J86" s="11"/>
    </row>
    <row r="87" spans="5:10" x14ac:dyDescent="0.2">
      <c r="E87" s="11"/>
      <c r="F87" s="11"/>
      <c r="G87" s="11"/>
      <c r="H87" s="11"/>
      <c r="I87" s="11"/>
      <c r="J87" s="11"/>
    </row>
    <row r="88" spans="5:10" x14ac:dyDescent="0.2">
      <c r="E88" s="11"/>
      <c r="F88" s="11"/>
      <c r="G88" s="11"/>
      <c r="H88" s="11"/>
      <c r="I88" s="11"/>
      <c r="J88" s="11"/>
    </row>
    <row r="89" spans="5:10" x14ac:dyDescent="0.2">
      <c r="E89" s="11"/>
      <c r="F89" s="11"/>
      <c r="G89" s="11"/>
      <c r="H89" s="11"/>
      <c r="I89" s="11"/>
      <c r="J89" s="11"/>
    </row>
    <row r="90" spans="5:10" x14ac:dyDescent="0.2">
      <c r="E90" s="11"/>
      <c r="F90" s="11"/>
      <c r="G90" s="11"/>
      <c r="H90" s="11"/>
      <c r="I90" s="11"/>
      <c r="J90" s="11"/>
    </row>
    <row r="91" spans="5:10" x14ac:dyDescent="0.2">
      <c r="E91" s="11"/>
      <c r="F91" s="11"/>
      <c r="G91" s="11"/>
      <c r="H91" s="11"/>
      <c r="I91" s="11"/>
      <c r="J91" s="11"/>
    </row>
    <row r="92" spans="5:10" x14ac:dyDescent="0.2">
      <c r="E92" s="11"/>
      <c r="F92" s="11"/>
      <c r="G92" s="11"/>
      <c r="H92" s="11"/>
      <c r="I92" s="11"/>
      <c r="J92" s="11"/>
    </row>
    <row r="93" spans="5:10" x14ac:dyDescent="0.2">
      <c r="E93" s="11"/>
      <c r="F93" s="11"/>
      <c r="G93" s="11"/>
      <c r="H93" s="11"/>
      <c r="I93" s="11"/>
      <c r="J93" s="11"/>
    </row>
    <row r="94" spans="5:10" x14ac:dyDescent="0.2">
      <c r="E94" s="11"/>
      <c r="F94" s="11"/>
      <c r="G94" s="11"/>
      <c r="H94" s="11"/>
      <c r="I94" s="11"/>
      <c r="J94" s="11"/>
    </row>
    <row r="95" spans="5:10" x14ac:dyDescent="0.2">
      <c r="E95" s="11"/>
      <c r="F95" s="11"/>
      <c r="G95" s="11"/>
      <c r="H95" s="11"/>
      <c r="I95" s="11"/>
      <c r="J95" s="11"/>
    </row>
    <row r="96" spans="5:10" x14ac:dyDescent="0.2">
      <c r="E96" s="11"/>
      <c r="F96" s="11"/>
      <c r="G96" s="11"/>
      <c r="H96" s="11"/>
      <c r="I96" s="11"/>
      <c r="J96" s="11"/>
    </row>
    <row r="97" spans="5:10" x14ac:dyDescent="0.2">
      <c r="E97" s="11"/>
      <c r="F97" s="11"/>
      <c r="G97" s="11"/>
      <c r="H97" s="11"/>
      <c r="I97" s="11"/>
      <c r="J97" s="11"/>
    </row>
    <row r="98" spans="5:10" x14ac:dyDescent="0.2">
      <c r="E98" s="11"/>
      <c r="F98" s="11"/>
      <c r="G98" s="11"/>
      <c r="H98" s="11"/>
      <c r="I98" s="11"/>
      <c r="J98" s="11"/>
    </row>
    <row r="99" spans="5:10" x14ac:dyDescent="0.2">
      <c r="E99" s="11"/>
      <c r="F99" s="11"/>
      <c r="G99" s="11"/>
      <c r="H99" s="11"/>
      <c r="I99" s="11"/>
      <c r="J99" s="11"/>
    </row>
    <row r="100" spans="5:10" x14ac:dyDescent="0.2">
      <c r="E100" s="11"/>
      <c r="F100" s="11"/>
      <c r="G100" s="11"/>
      <c r="H100" s="11"/>
      <c r="I100" s="11"/>
      <c r="J100" s="11"/>
    </row>
    <row r="101" spans="5:10" x14ac:dyDescent="0.2">
      <c r="E101" s="11"/>
      <c r="F101" s="11"/>
      <c r="G101" s="11"/>
      <c r="H101" s="11"/>
      <c r="I101" s="11"/>
      <c r="J101" s="11"/>
    </row>
    <row r="102" spans="5:10" x14ac:dyDescent="0.2">
      <c r="E102" s="11"/>
      <c r="F102" s="11"/>
      <c r="G102" s="11"/>
      <c r="H102" s="11"/>
      <c r="I102" s="11"/>
      <c r="J102" s="11"/>
    </row>
    <row r="103" spans="5:10" x14ac:dyDescent="0.2">
      <c r="E103" s="11"/>
      <c r="F103" s="11"/>
      <c r="G103" s="11"/>
      <c r="H103" s="11"/>
      <c r="I103" s="11"/>
      <c r="J103" s="11"/>
    </row>
    <row r="104" spans="5:10" x14ac:dyDescent="0.2">
      <c r="E104" s="11"/>
      <c r="F104" s="11"/>
      <c r="G104" s="11"/>
      <c r="H104" s="11"/>
      <c r="I104" s="11"/>
      <c r="J104" s="11"/>
    </row>
    <row r="105" spans="5:10" x14ac:dyDescent="0.2">
      <c r="E105" s="11"/>
      <c r="F105" s="11"/>
      <c r="G105" s="11"/>
      <c r="H105" s="11"/>
      <c r="I105" s="11"/>
      <c r="J105" s="11"/>
    </row>
    <row r="106" spans="5:10" x14ac:dyDescent="0.2">
      <c r="E106" s="11"/>
      <c r="F106" s="11"/>
      <c r="G106" s="11"/>
      <c r="H106" s="11"/>
      <c r="I106" s="11"/>
      <c r="J106" s="11"/>
    </row>
    <row r="107" spans="5:10" x14ac:dyDescent="0.2">
      <c r="E107" s="11"/>
      <c r="F107" s="11"/>
      <c r="G107" s="11"/>
      <c r="H107" s="11"/>
      <c r="I107" s="11"/>
      <c r="J107" s="11"/>
    </row>
    <row r="108" spans="5:10" x14ac:dyDescent="0.2">
      <c r="E108" s="11"/>
      <c r="F108" s="11"/>
      <c r="G108" s="11"/>
      <c r="H108" s="11"/>
      <c r="I108" s="11"/>
      <c r="J108" s="11"/>
    </row>
    <row r="109" spans="5:10" x14ac:dyDescent="0.2">
      <c r="E109" s="11"/>
      <c r="F109" s="11"/>
      <c r="G109" s="11"/>
      <c r="H109" s="11"/>
      <c r="I109" s="11"/>
      <c r="J109" s="11"/>
    </row>
    <row r="110" spans="5:10" x14ac:dyDescent="0.2">
      <c r="E110" s="11"/>
      <c r="F110" s="11"/>
      <c r="G110" s="11"/>
      <c r="H110" s="11"/>
      <c r="I110" s="11"/>
      <c r="J110" s="11"/>
    </row>
    <row r="111" spans="5:10" x14ac:dyDescent="0.2">
      <c r="E111" s="11"/>
      <c r="F111" s="11"/>
      <c r="G111" s="11"/>
      <c r="H111" s="11"/>
      <c r="I111" s="11"/>
      <c r="J111" s="11"/>
    </row>
    <row r="112" spans="5:10" x14ac:dyDescent="0.2">
      <c r="E112" s="11"/>
      <c r="F112" s="11"/>
      <c r="G112" s="11"/>
      <c r="H112" s="11"/>
      <c r="I112" s="11"/>
      <c r="J112" s="11"/>
    </row>
    <row r="113" spans="5:10" x14ac:dyDescent="0.2">
      <c r="E113" s="11"/>
      <c r="F113" s="11"/>
      <c r="G113" s="11"/>
      <c r="H113" s="11"/>
      <c r="I113" s="11"/>
      <c r="J113" s="11"/>
    </row>
    <row r="114" spans="5:10" x14ac:dyDescent="0.2">
      <c r="E114" s="11"/>
      <c r="F114" s="11"/>
      <c r="G114" s="11"/>
      <c r="H114" s="11"/>
      <c r="I114" s="11"/>
      <c r="J114" s="11"/>
    </row>
    <row r="115" spans="5:10" x14ac:dyDescent="0.2">
      <c r="E115" s="11"/>
      <c r="F115" s="11"/>
      <c r="G115" s="11"/>
      <c r="H115" s="11"/>
      <c r="I115" s="11"/>
      <c r="J115" s="11"/>
    </row>
    <row r="116" spans="5:10" x14ac:dyDescent="0.2">
      <c r="E116" s="11"/>
      <c r="F116" s="11"/>
      <c r="G116" s="11"/>
      <c r="H116" s="11"/>
      <c r="I116" s="11"/>
      <c r="J116" s="11"/>
    </row>
    <row r="117" spans="5:10" x14ac:dyDescent="0.2">
      <c r="E117" s="11"/>
      <c r="F117" s="11"/>
      <c r="G117" s="11"/>
      <c r="H117" s="11"/>
      <c r="I117" s="11"/>
      <c r="J117" s="11"/>
    </row>
    <row r="118" spans="5:10" x14ac:dyDescent="0.2">
      <c r="E118" s="11"/>
      <c r="F118" s="11"/>
      <c r="G118" s="11"/>
      <c r="H118" s="11"/>
      <c r="I118" s="11"/>
      <c r="J118" s="11"/>
    </row>
    <row r="119" spans="5:10" x14ac:dyDescent="0.2">
      <c r="E119" s="11"/>
      <c r="F119" s="11"/>
      <c r="G119" s="11"/>
      <c r="H119" s="11"/>
      <c r="I119" s="11"/>
      <c r="J119" s="11"/>
    </row>
    <row r="120" spans="5:10" x14ac:dyDescent="0.2">
      <c r="E120" s="11"/>
      <c r="F120" s="11"/>
      <c r="G120" s="11"/>
      <c r="H120" s="11"/>
      <c r="I120" s="11"/>
      <c r="J120" s="11"/>
    </row>
    <row r="121" spans="5:10" x14ac:dyDescent="0.2">
      <c r="E121" s="11"/>
      <c r="F121" s="11"/>
      <c r="G121" s="11"/>
      <c r="H121" s="11"/>
      <c r="I121" s="11"/>
      <c r="J121" s="11"/>
    </row>
    <row r="122" spans="5:10" x14ac:dyDescent="0.2">
      <c r="E122" s="11"/>
      <c r="F122" s="11"/>
      <c r="G122" s="11"/>
      <c r="H122" s="11"/>
      <c r="I122" s="11"/>
      <c r="J122" s="11"/>
    </row>
    <row r="123" spans="5:10" x14ac:dyDescent="0.2">
      <c r="E123" s="11"/>
      <c r="F123" s="11"/>
      <c r="G123" s="11"/>
      <c r="H123" s="11"/>
      <c r="I123" s="11"/>
      <c r="J123" s="11"/>
    </row>
    <row r="124" spans="5:10" x14ac:dyDescent="0.2">
      <c r="E124" s="11"/>
      <c r="F124" s="11"/>
      <c r="G124" s="11"/>
      <c r="H124" s="11"/>
      <c r="I124" s="11"/>
      <c r="J124" s="11"/>
    </row>
    <row r="125" spans="5:10" x14ac:dyDescent="0.2">
      <c r="E125" s="11"/>
      <c r="F125" s="11"/>
      <c r="G125" s="11"/>
      <c r="H125" s="11"/>
      <c r="I125" s="11"/>
      <c r="J125" s="11"/>
    </row>
    <row r="126" spans="5:10" x14ac:dyDescent="0.2">
      <c r="E126" s="11"/>
      <c r="F126" s="11"/>
      <c r="G126" s="11"/>
      <c r="H126" s="11"/>
      <c r="I126" s="11"/>
      <c r="J126" s="11"/>
    </row>
    <row r="127" spans="5:10" x14ac:dyDescent="0.2">
      <c r="E127" s="11"/>
      <c r="F127" s="11"/>
      <c r="G127" s="11"/>
      <c r="H127" s="11"/>
      <c r="I127" s="11"/>
      <c r="J127" s="11"/>
    </row>
    <row r="128" spans="5:10" x14ac:dyDescent="0.2">
      <c r="E128" s="11"/>
      <c r="F128" s="11"/>
      <c r="G128" s="11"/>
      <c r="H128" s="11"/>
      <c r="I128" s="11"/>
      <c r="J128" s="11"/>
    </row>
    <row r="129" spans="5:10" x14ac:dyDescent="0.2">
      <c r="E129" s="11"/>
      <c r="F129" s="11"/>
      <c r="G129" s="11"/>
      <c r="H129" s="11"/>
      <c r="I129" s="11"/>
      <c r="J129" s="11"/>
    </row>
    <row r="130" spans="5:10" x14ac:dyDescent="0.2">
      <c r="E130" s="11"/>
      <c r="F130" s="11"/>
      <c r="G130" s="11"/>
      <c r="H130" s="11"/>
      <c r="I130" s="11"/>
      <c r="J130" s="11"/>
    </row>
    <row r="131" spans="5:10" x14ac:dyDescent="0.2">
      <c r="E131" s="11"/>
      <c r="F131" s="11"/>
      <c r="G131" s="11"/>
      <c r="H131" s="11"/>
      <c r="I131" s="11"/>
      <c r="J131" s="11"/>
    </row>
    <row r="132" spans="5:10" x14ac:dyDescent="0.2">
      <c r="E132" s="11"/>
      <c r="F132" s="11"/>
      <c r="G132" s="11"/>
      <c r="H132" s="11"/>
      <c r="I132" s="11"/>
      <c r="J132" s="11"/>
    </row>
    <row r="133" spans="5:10" x14ac:dyDescent="0.2">
      <c r="E133" s="11"/>
      <c r="F133" s="11"/>
      <c r="G133" s="11"/>
      <c r="H133" s="11"/>
      <c r="I133" s="11"/>
      <c r="J133" s="11"/>
    </row>
    <row r="134" spans="5:10" x14ac:dyDescent="0.2">
      <c r="E134" s="11"/>
      <c r="F134" s="11"/>
      <c r="G134" s="11"/>
      <c r="H134" s="11"/>
      <c r="I134" s="11"/>
      <c r="J134" s="11"/>
    </row>
    <row r="135" spans="5:10" x14ac:dyDescent="0.2">
      <c r="E135" s="11"/>
      <c r="F135" s="11"/>
      <c r="G135" s="11"/>
      <c r="H135" s="11"/>
      <c r="I135" s="11"/>
      <c r="J135" s="11"/>
    </row>
    <row r="136" spans="5:10" x14ac:dyDescent="0.2">
      <c r="E136" s="11"/>
      <c r="F136" s="11"/>
      <c r="G136" s="11"/>
      <c r="H136" s="11"/>
      <c r="I136" s="11"/>
      <c r="J136" s="11"/>
    </row>
    <row r="137" spans="5:10" x14ac:dyDescent="0.2">
      <c r="E137" s="11"/>
      <c r="F137" s="11"/>
      <c r="G137" s="11"/>
      <c r="H137" s="11"/>
      <c r="I137" s="11"/>
      <c r="J137" s="11"/>
    </row>
    <row r="138" spans="5:10" x14ac:dyDescent="0.2">
      <c r="E138" s="11"/>
      <c r="F138" s="11"/>
      <c r="G138" s="11"/>
      <c r="H138" s="11"/>
      <c r="I138" s="11"/>
      <c r="J138" s="11"/>
    </row>
    <row r="139" spans="5:10" x14ac:dyDescent="0.2">
      <c r="E139" s="11"/>
      <c r="F139" s="11"/>
      <c r="G139" s="11"/>
      <c r="H139" s="11"/>
      <c r="I139" s="11"/>
      <c r="J139" s="11"/>
    </row>
    <row r="140" spans="5:10" x14ac:dyDescent="0.2">
      <c r="E140" s="11"/>
      <c r="F140" s="11"/>
      <c r="G140" s="11"/>
      <c r="H140" s="11"/>
      <c r="I140" s="11"/>
      <c r="J140" s="11"/>
    </row>
    <row r="141" spans="5:10" x14ac:dyDescent="0.2">
      <c r="E141" s="11"/>
      <c r="F141" s="11"/>
      <c r="G141" s="11"/>
      <c r="H141" s="11"/>
      <c r="I141" s="11"/>
      <c r="J141" s="11"/>
    </row>
    <row r="142" spans="5:10" x14ac:dyDescent="0.2">
      <c r="E142" s="11"/>
      <c r="F142" s="11"/>
      <c r="G142" s="11"/>
      <c r="H142" s="11"/>
      <c r="I142" s="11"/>
      <c r="J142" s="11"/>
    </row>
    <row r="143" spans="5:10" x14ac:dyDescent="0.2">
      <c r="E143" s="11"/>
      <c r="F143" s="11"/>
      <c r="G143" s="11"/>
      <c r="H143" s="11"/>
      <c r="I143" s="11"/>
      <c r="J143" s="11"/>
    </row>
    <row r="144" spans="5:10" x14ac:dyDescent="0.2">
      <c r="E144" s="11"/>
      <c r="F144" s="11"/>
      <c r="G144" s="11"/>
      <c r="H144" s="11"/>
      <c r="I144" s="11"/>
      <c r="J144" s="11"/>
    </row>
    <row r="145" spans="5:10" x14ac:dyDescent="0.2">
      <c r="E145" s="11"/>
      <c r="F145" s="11"/>
      <c r="G145" s="11"/>
      <c r="H145" s="11"/>
      <c r="I145" s="11"/>
      <c r="J145" s="11"/>
    </row>
    <row r="146" spans="5:10" x14ac:dyDescent="0.2">
      <c r="E146" s="11"/>
      <c r="F146" s="11"/>
      <c r="G146" s="11"/>
      <c r="H146" s="11"/>
      <c r="I146" s="11"/>
      <c r="J146" s="11"/>
    </row>
    <row r="147" spans="5:10" x14ac:dyDescent="0.2">
      <c r="E147" s="11"/>
      <c r="F147" s="11"/>
      <c r="G147" s="11"/>
      <c r="H147" s="11"/>
      <c r="I147" s="11"/>
      <c r="J147" s="11"/>
    </row>
    <row r="148" spans="5:10" x14ac:dyDescent="0.2">
      <c r="E148" s="11"/>
      <c r="F148" s="11"/>
      <c r="G148" s="11"/>
      <c r="H148" s="11"/>
      <c r="I148" s="11"/>
      <c r="J148" s="11"/>
    </row>
    <row r="149" spans="5:10" x14ac:dyDescent="0.2">
      <c r="E149" s="11"/>
      <c r="F149" s="11"/>
      <c r="G149" s="11"/>
      <c r="H149" s="11"/>
      <c r="I149" s="11"/>
      <c r="J149" s="11"/>
    </row>
    <row r="150" spans="5:10" x14ac:dyDescent="0.2">
      <c r="E150" s="11"/>
      <c r="F150" s="11"/>
      <c r="G150" s="11"/>
      <c r="H150" s="11"/>
      <c r="I150" s="11"/>
      <c r="J150" s="11"/>
    </row>
    <row r="151" spans="5:10" x14ac:dyDescent="0.2">
      <c r="E151" s="11"/>
      <c r="F151" s="11"/>
      <c r="G151" s="11"/>
      <c r="H151" s="11"/>
      <c r="I151" s="11"/>
      <c r="J151" s="11"/>
    </row>
    <row r="152" spans="5:10" x14ac:dyDescent="0.2">
      <c r="E152" s="11"/>
      <c r="F152" s="11"/>
      <c r="G152" s="11"/>
      <c r="H152" s="11"/>
      <c r="I152" s="11"/>
      <c r="J152" s="11"/>
    </row>
    <row r="153" spans="5:10" x14ac:dyDescent="0.2">
      <c r="E153" s="11"/>
      <c r="F153" s="11"/>
      <c r="G153" s="11"/>
      <c r="H153" s="11"/>
      <c r="I153" s="11"/>
      <c r="J153" s="11"/>
    </row>
    <row r="154" spans="5:10" x14ac:dyDescent="0.2">
      <c r="E154" s="11"/>
      <c r="F154" s="11"/>
      <c r="G154" s="11"/>
      <c r="H154" s="11"/>
      <c r="I154" s="11"/>
      <c r="J154" s="11"/>
    </row>
    <row r="155" spans="5:10" x14ac:dyDescent="0.2">
      <c r="E155" s="11"/>
      <c r="F155" s="11"/>
      <c r="G155" s="11"/>
      <c r="H155" s="11"/>
      <c r="I155" s="11"/>
      <c r="J155" s="11"/>
    </row>
    <row r="156" spans="5:10" x14ac:dyDescent="0.2">
      <c r="E156" s="11"/>
      <c r="F156" s="11"/>
      <c r="G156" s="11"/>
      <c r="H156" s="11"/>
      <c r="I156" s="11"/>
      <c r="J156" s="11"/>
    </row>
    <row r="157" spans="5:10" x14ac:dyDescent="0.2">
      <c r="E157" s="11"/>
      <c r="F157" s="11"/>
      <c r="G157" s="11"/>
      <c r="H157" s="11"/>
      <c r="I157" s="11"/>
      <c r="J157" s="11"/>
    </row>
    <row r="158" spans="5:10" x14ac:dyDescent="0.2">
      <c r="E158" s="11"/>
      <c r="F158" s="11"/>
      <c r="G158" s="11"/>
      <c r="H158" s="11"/>
      <c r="I158" s="11"/>
      <c r="J158" s="11"/>
    </row>
    <row r="159" spans="5:10" x14ac:dyDescent="0.2">
      <c r="E159" s="11"/>
      <c r="F159" s="11"/>
      <c r="G159" s="11"/>
      <c r="H159" s="11"/>
      <c r="I159" s="11"/>
      <c r="J159" s="11"/>
    </row>
    <row r="160" spans="5:10" x14ac:dyDescent="0.2">
      <c r="E160" s="11"/>
      <c r="F160" s="11"/>
      <c r="G160" s="11"/>
      <c r="H160" s="11"/>
      <c r="I160" s="11"/>
      <c r="J160" s="11"/>
    </row>
    <row r="161" spans="5:10" x14ac:dyDescent="0.2">
      <c r="E161" s="11"/>
      <c r="F161" s="11"/>
      <c r="G161" s="11"/>
      <c r="H161" s="11"/>
      <c r="I161" s="11"/>
      <c r="J161" s="11"/>
    </row>
    <row r="162" spans="5:10" x14ac:dyDescent="0.2">
      <c r="E162" s="11"/>
      <c r="F162" s="11"/>
      <c r="G162" s="11"/>
      <c r="H162" s="11"/>
      <c r="I162" s="11"/>
      <c r="J162" s="11"/>
    </row>
    <row r="163" spans="5:10" x14ac:dyDescent="0.2">
      <c r="E163" s="11"/>
      <c r="F163" s="11"/>
      <c r="G163" s="11"/>
      <c r="H163" s="11"/>
      <c r="I163" s="11"/>
      <c r="J163" s="11"/>
    </row>
    <row r="164" spans="5:10" x14ac:dyDescent="0.2">
      <c r="E164" s="11"/>
      <c r="F164" s="11"/>
      <c r="G164" s="11"/>
      <c r="H164" s="11"/>
      <c r="I164" s="11"/>
      <c r="J164" s="11"/>
    </row>
    <row r="165" spans="5:10" x14ac:dyDescent="0.2">
      <c r="E165" s="11"/>
      <c r="F165" s="11"/>
      <c r="G165" s="11"/>
      <c r="H165" s="11"/>
      <c r="I165" s="11"/>
      <c r="J165" s="11"/>
    </row>
    <row r="166" spans="5:10" x14ac:dyDescent="0.2">
      <c r="E166" s="11"/>
      <c r="F166" s="11"/>
      <c r="G166" s="11"/>
      <c r="H166" s="11"/>
      <c r="I166" s="11"/>
      <c r="J166" s="11"/>
    </row>
    <row r="167" spans="5:10" x14ac:dyDescent="0.2">
      <c r="E167" s="11"/>
      <c r="F167" s="11"/>
      <c r="G167" s="11"/>
      <c r="H167" s="11"/>
      <c r="I167" s="11"/>
      <c r="J167" s="11"/>
    </row>
    <row r="168" spans="5:10" x14ac:dyDescent="0.2">
      <c r="E168" s="11"/>
      <c r="F168" s="11"/>
      <c r="G168" s="11"/>
      <c r="H168" s="11"/>
      <c r="I168" s="11"/>
      <c r="J168" s="11"/>
    </row>
    <row r="169" spans="5:10" x14ac:dyDescent="0.2">
      <c r="E169" s="11"/>
      <c r="F169" s="11"/>
      <c r="G169" s="11"/>
      <c r="H169" s="11"/>
      <c r="I169" s="11"/>
      <c r="J169" s="11"/>
    </row>
    <row r="170" spans="5:10" x14ac:dyDescent="0.2">
      <c r="E170" s="11"/>
      <c r="F170" s="11"/>
      <c r="G170" s="11"/>
      <c r="H170" s="11"/>
      <c r="I170" s="11"/>
      <c r="J170" s="11"/>
    </row>
    <row r="171" spans="5:10" x14ac:dyDescent="0.2">
      <c r="E171" s="11"/>
      <c r="F171" s="11"/>
      <c r="G171" s="11"/>
      <c r="H171" s="11"/>
      <c r="I171" s="11"/>
      <c r="J171" s="11"/>
    </row>
    <row r="172" spans="5:10" x14ac:dyDescent="0.2">
      <c r="E172" s="11"/>
      <c r="F172" s="11"/>
      <c r="G172" s="11"/>
      <c r="H172" s="11"/>
      <c r="I172" s="11"/>
      <c r="J172" s="11"/>
    </row>
    <row r="173" spans="5:10" x14ac:dyDescent="0.2">
      <c r="E173" s="11"/>
      <c r="F173" s="11"/>
      <c r="G173" s="11"/>
      <c r="H173" s="11"/>
      <c r="I173" s="11"/>
      <c r="J173" s="11"/>
    </row>
    <row r="174" spans="5:10" x14ac:dyDescent="0.2">
      <c r="E174" s="11"/>
      <c r="F174" s="11"/>
      <c r="G174" s="11"/>
      <c r="H174" s="11"/>
      <c r="I174" s="11"/>
      <c r="J174" s="11"/>
    </row>
    <row r="175" spans="5:10" x14ac:dyDescent="0.2">
      <c r="E175" s="11"/>
      <c r="F175" s="11"/>
      <c r="G175" s="11"/>
      <c r="H175" s="11"/>
      <c r="I175" s="11"/>
      <c r="J175" s="11"/>
    </row>
    <row r="176" spans="5:10" x14ac:dyDescent="0.2">
      <c r="E176" s="11"/>
      <c r="F176" s="11"/>
      <c r="G176" s="11"/>
      <c r="H176" s="11"/>
      <c r="I176" s="11"/>
      <c r="J176" s="11"/>
    </row>
    <row r="177" spans="5:10" x14ac:dyDescent="0.2">
      <c r="E177" s="11"/>
      <c r="F177" s="11"/>
      <c r="G177" s="11"/>
      <c r="H177" s="11"/>
      <c r="I177" s="11"/>
      <c r="J177" s="11"/>
    </row>
    <row r="178" spans="5:10" x14ac:dyDescent="0.2">
      <c r="E178" s="11"/>
      <c r="F178" s="11"/>
      <c r="G178" s="11"/>
      <c r="H178" s="11"/>
      <c r="I178" s="11"/>
      <c r="J178" s="11"/>
    </row>
    <row r="179" spans="5:10" x14ac:dyDescent="0.2">
      <c r="E179" s="11"/>
      <c r="F179" s="11"/>
      <c r="G179" s="11"/>
      <c r="H179" s="11"/>
      <c r="I179" s="11"/>
      <c r="J179" s="11"/>
    </row>
    <row r="180" spans="5:10" x14ac:dyDescent="0.2">
      <c r="E180" s="11"/>
      <c r="F180" s="11"/>
      <c r="G180" s="11"/>
      <c r="H180" s="11"/>
      <c r="I180" s="11"/>
      <c r="J180" s="11"/>
    </row>
    <row r="181" spans="5:10" x14ac:dyDescent="0.2">
      <c r="E181" s="11"/>
      <c r="F181" s="11"/>
      <c r="G181" s="11"/>
      <c r="H181" s="11"/>
      <c r="I181" s="11"/>
      <c r="J181" s="11"/>
    </row>
    <row r="182" spans="5:10" x14ac:dyDescent="0.2">
      <c r="E182" s="11"/>
      <c r="F182" s="11"/>
      <c r="G182" s="11"/>
      <c r="H182" s="11"/>
      <c r="I182" s="11"/>
      <c r="J182" s="11"/>
    </row>
    <row r="183" spans="5:10" x14ac:dyDescent="0.2">
      <c r="E183" s="11"/>
      <c r="F183" s="11"/>
      <c r="G183" s="11"/>
      <c r="H183" s="11"/>
      <c r="I183" s="11"/>
      <c r="J183" s="11"/>
    </row>
    <row r="184" spans="5:10" x14ac:dyDescent="0.2">
      <c r="E184" s="11"/>
      <c r="F184" s="11"/>
      <c r="G184" s="11"/>
      <c r="H184" s="11"/>
      <c r="I184" s="11"/>
      <c r="J184" s="11"/>
    </row>
    <row r="185" spans="5:10" x14ac:dyDescent="0.2">
      <c r="E185" s="11"/>
      <c r="F185" s="11"/>
      <c r="G185" s="11"/>
      <c r="H185" s="11"/>
      <c r="I185" s="11"/>
      <c r="J185" s="11"/>
    </row>
    <row r="186" spans="5:10" x14ac:dyDescent="0.2">
      <c r="E186" s="11"/>
      <c r="F186" s="11"/>
      <c r="G186" s="11"/>
      <c r="H186" s="11"/>
      <c r="I186" s="11"/>
      <c r="J186" s="11"/>
    </row>
    <row r="187" spans="5:10" x14ac:dyDescent="0.2">
      <c r="E187" s="11"/>
      <c r="F187" s="11"/>
      <c r="G187" s="11"/>
      <c r="H187" s="11"/>
      <c r="I187" s="11"/>
      <c r="J187" s="11"/>
    </row>
    <row r="188" spans="5:10" x14ac:dyDescent="0.2">
      <c r="E188" s="11"/>
      <c r="F188" s="11"/>
      <c r="G188" s="11"/>
      <c r="H188" s="11"/>
      <c r="I188" s="11"/>
      <c r="J188" s="11"/>
    </row>
    <row r="189" spans="5:10" x14ac:dyDescent="0.2">
      <c r="E189" s="11"/>
      <c r="F189" s="11"/>
      <c r="G189" s="11"/>
      <c r="H189" s="11"/>
      <c r="I189" s="11"/>
      <c r="J189" s="11"/>
    </row>
    <row r="190" spans="5:10" x14ac:dyDescent="0.2">
      <c r="E190" s="11"/>
      <c r="F190" s="11"/>
      <c r="G190" s="11"/>
      <c r="H190" s="11"/>
      <c r="I190" s="11"/>
      <c r="J190" s="11"/>
    </row>
    <row r="191" spans="5:10" x14ac:dyDescent="0.2">
      <c r="E191" s="11"/>
      <c r="F191" s="11"/>
      <c r="G191" s="11"/>
      <c r="H191" s="11"/>
      <c r="I191" s="11"/>
      <c r="J191" s="11"/>
    </row>
    <row r="192" spans="5:10" x14ac:dyDescent="0.2">
      <c r="E192" s="11"/>
      <c r="F192" s="11"/>
      <c r="G192" s="11"/>
      <c r="H192" s="11"/>
      <c r="I192" s="11"/>
      <c r="J192" s="11"/>
    </row>
    <row r="193" spans="5:10" x14ac:dyDescent="0.2">
      <c r="E193" s="11"/>
      <c r="F193" s="11"/>
      <c r="G193" s="11"/>
      <c r="H193" s="11"/>
      <c r="I193" s="11"/>
      <c r="J193" s="11"/>
    </row>
    <row r="194" spans="5:10" x14ac:dyDescent="0.2">
      <c r="E194" s="11"/>
      <c r="F194" s="11"/>
      <c r="G194" s="11"/>
      <c r="H194" s="11"/>
      <c r="I194" s="11"/>
      <c r="J194" s="11"/>
    </row>
    <row r="195" spans="5:10" x14ac:dyDescent="0.2">
      <c r="E195" s="11"/>
      <c r="F195" s="11"/>
      <c r="G195" s="11"/>
      <c r="H195" s="11"/>
      <c r="I195" s="11"/>
      <c r="J195" s="11"/>
    </row>
    <row r="196" spans="5:10" x14ac:dyDescent="0.2">
      <c r="E196" s="11"/>
      <c r="F196" s="11"/>
      <c r="G196" s="11"/>
      <c r="H196" s="11"/>
      <c r="I196" s="11"/>
      <c r="J196" s="11"/>
    </row>
    <row r="197" spans="5:10" x14ac:dyDescent="0.2">
      <c r="E197" s="11"/>
      <c r="F197" s="11"/>
      <c r="G197" s="11"/>
      <c r="H197" s="11"/>
      <c r="I197" s="11"/>
      <c r="J197" s="11"/>
    </row>
    <row r="198" spans="5:10" x14ac:dyDescent="0.2">
      <c r="E198" s="11"/>
      <c r="F198" s="11"/>
      <c r="G198" s="11"/>
      <c r="H198" s="11"/>
      <c r="I198" s="11"/>
      <c r="J198" s="11"/>
    </row>
    <row r="199" spans="5:10" x14ac:dyDescent="0.2">
      <c r="E199" s="11"/>
      <c r="F199" s="11"/>
      <c r="G199" s="11"/>
      <c r="H199" s="11"/>
      <c r="I199" s="11"/>
      <c r="J199" s="11"/>
    </row>
    <row r="200" spans="5:10" x14ac:dyDescent="0.2">
      <c r="E200" s="11"/>
      <c r="F200" s="11"/>
      <c r="G200" s="11"/>
      <c r="H200" s="11"/>
      <c r="I200" s="11"/>
      <c r="J200" s="11"/>
    </row>
    <row r="201" spans="5:10" x14ac:dyDescent="0.2">
      <c r="E201" s="11"/>
      <c r="F201" s="11"/>
      <c r="G201" s="11"/>
      <c r="H201" s="11"/>
      <c r="I201" s="11"/>
      <c r="J201" s="11"/>
    </row>
    <row r="202" spans="5:10" x14ac:dyDescent="0.2">
      <c r="E202" s="11"/>
      <c r="F202" s="11"/>
      <c r="G202" s="11"/>
      <c r="H202" s="11"/>
      <c r="I202" s="11"/>
      <c r="J202" s="11"/>
    </row>
    <row r="203" spans="5:10" x14ac:dyDescent="0.2">
      <c r="E203" s="11"/>
      <c r="F203" s="11"/>
      <c r="G203" s="11"/>
      <c r="H203" s="11"/>
      <c r="I203" s="11"/>
      <c r="J203" s="11"/>
    </row>
    <row r="204" spans="5:10" x14ac:dyDescent="0.2">
      <c r="E204" s="11"/>
      <c r="F204" s="11"/>
      <c r="G204" s="11"/>
      <c r="H204" s="11"/>
      <c r="I204" s="11"/>
      <c r="J204" s="11"/>
    </row>
    <row r="205" spans="5:10" x14ac:dyDescent="0.2">
      <c r="E205" s="11"/>
      <c r="F205" s="11"/>
      <c r="G205" s="11"/>
      <c r="H205" s="11"/>
      <c r="I205" s="11"/>
      <c r="J205" s="11"/>
    </row>
    <row r="206" spans="5:10" x14ac:dyDescent="0.2">
      <c r="E206" s="11"/>
      <c r="F206" s="11"/>
      <c r="G206" s="11"/>
      <c r="H206" s="11"/>
      <c r="I206" s="11"/>
      <c r="J206" s="11"/>
    </row>
    <row r="207" spans="5:10" x14ac:dyDescent="0.2">
      <c r="E207" s="11"/>
      <c r="F207" s="11"/>
      <c r="G207" s="11"/>
      <c r="H207" s="11"/>
      <c r="I207" s="11"/>
      <c r="J207" s="11"/>
    </row>
    <row r="208" spans="5:10" x14ac:dyDescent="0.2">
      <c r="E208" s="11"/>
      <c r="F208" s="11"/>
      <c r="G208" s="11"/>
      <c r="H208" s="11"/>
      <c r="I208" s="11"/>
      <c r="J208" s="11"/>
    </row>
  </sheetData>
  <mergeCells count="1">
    <mergeCell ref="E9:J208"/>
  </mergeCells>
  <hyperlinks>
    <hyperlink ref="B5" location="Data!A1" display="Access data" xr:uid="{00000000-0004-0000-0000-000000000000}"/>
    <hyperlink ref="C25" r:id="rId1" xr:uid="{00000000-0004-0000-0000-000001000000}"/>
  </hyperlinks>
  <pageMargins left="0.75" right="0.75" top="1" bottom="1" header="0.5" footer="0.5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selection activeCell="A12" sqref="A12"/>
    </sheetView>
  </sheetViews>
  <sheetFormatPr baseColWidth="10" defaultColWidth="9.140625" defaultRowHeight="12.75" x14ac:dyDescent="0.2"/>
  <cols>
    <col min="1" max="1" width="100.7109375" customWidth="1"/>
    <col min="2" max="2" width="5.85546875" customWidth="1"/>
  </cols>
  <sheetData>
    <row r="1" spans="1:4" x14ac:dyDescent="0.2">
      <c r="A1" t="s">
        <v>77</v>
      </c>
      <c r="B1" t="s">
        <v>79</v>
      </c>
      <c r="C1" t="s">
        <v>80</v>
      </c>
      <c r="D1" t="s">
        <v>78</v>
      </c>
    </row>
    <row r="2" spans="1:4" x14ac:dyDescent="0.2">
      <c r="A2" s="2" t="s">
        <v>27</v>
      </c>
      <c r="B2" s="6">
        <v>1947</v>
      </c>
      <c r="C2">
        <f>B2*data_info!B$10</f>
        <v>883.14362400000005</v>
      </c>
      <c r="D2">
        <v>2022</v>
      </c>
    </row>
    <row r="3" spans="1:4" x14ac:dyDescent="0.2">
      <c r="A3" s="2" t="s">
        <v>28</v>
      </c>
      <c r="B3" s="6">
        <v>1733</v>
      </c>
      <c r="C3" s="8">
        <f>B3*data_info!B$10</f>
        <v>786.07493599999998</v>
      </c>
      <c r="D3">
        <v>2022</v>
      </c>
    </row>
    <row r="4" spans="1:4" x14ac:dyDescent="0.2">
      <c r="A4" s="2" t="s">
        <v>29</v>
      </c>
      <c r="B4" s="6">
        <v>1693</v>
      </c>
      <c r="C4" s="8">
        <f>B4*data_info!B$10</f>
        <v>767.93125599999996</v>
      </c>
      <c r="D4">
        <v>2022</v>
      </c>
    </row>
    <row r="5" spans="1:4" x14ac:dyDescent="0.2">
      <c r="A5" s="2" t="s">
        <v>30</v>
      </c>
      <c r="B5" s="6">
        <v>1557</v>
      </c>
      <c r="C5" s="8">
        <f>B5*data_info!B$10</f>
        <v>706.24274400000002</v>
      </c>
      <c r="D5">
        <v>2022</v>
      </c>
    </row>
    <row r="6" spans="1:4" x14ac:dyDescent="0.2">
      <c r="A6" s="2" t="s">
        <v>31</v>
      </c>
      <c r="B6" s="6">
        <v>1538</v>
      </c>
      <c r="C6" s="8">
        <f>B6*data_info!B$10</f>
        <v>697.62449600000002</v>
      </c>
      <c r="D6">
        <v>2022</v>
      </c>
    </row>
    <row r="7" spans="1:4" x14ac:dyDescent="0.2">
      <c r="A7" s="2" t="s">
        <v>32</v>
      </c>
      <c r="B7" s="6">
        <v>1439</v>
      </c>
      <c r="C7" s="8">
        <f>B7*data_info!B$10</f>
        <v>652.71888799999999</v>
      </c>
      <c r="D7">
        <v>2022</v>
      </c>
    </row>
    <row r="8" spans="1:4" x14ac:dyDescent="0.2">
      <c r="A8" s="2" t="s">
        <v>33</v>
      </c>
      <c r="B8" s="6">
        <v>1338</v>
      </c>
      <c r="C8" s="8">
        <f>B8*data_info!B$10</f>
        <v>606.90609600000005</v>
      </c>
      <c r="D8">
        <v>2022</v>
      </c>
    </row>
    <row r="9" spans="1:4" x14ac:dyDescent="0.2">
      <c r="A9" s="2" t="s">
        <v>34</v>
      </c>
      <c r="B9" s="6">
        <v>1331</v>
      </c>
      <c r="C9" s="8">
        <f>B9*data_info!B$10</f>
        <v>603.730952</v>
      </c>
      <c r="D9">
        <v>2022</v>
      </c>
    </row>
    <row r="10" spans="1:4" x14ac:dyDescent="0.2">
      <c r="A10" s="2" t="s">
        <v>35</v>
      </c>
      <c r="B10" s="6">
        <v>1140</v>
      </c>
      <c r="C10" s="8">
        <f>B10*data_info!B$10</f>
        <v>517.09487999999999</v>
      </c>
      <c r="D10">
        <v>2022</v>
      </c>
    </row>
    <row r="11" spans="1:4" x14ac:dyDescent="0.2">
      <c r="A11" s="2" t="s">
        <v>36</v>
      </c>
      <c r="B11" s="6">
        <v>1124</v>
      </c>
      <c r="C11" s="8">
        <f>B11*data_info!B$10</f>
        <v>509.83740799999998</v>
      </c>
      <c r="D11">
        <v>2022</v>
      </c>
    </row>
    <row r="12" spans="1:4" x14ac:dyDescent="0.2">
      <c r="A12" s="2" t="s">
        <v>37</v>
      </c>
      <c r="B12" s="6">
        <v>1103</v>
      </c>
      <c r="C12" s="8">
        <f>B12*data_info!B$10</f>
        <v>500.31197600000002</v>
      </c>
      <c r="D12">
        <v>2022</v>
      </c>
    </row>
    <row r="13" spans="1:4" x14ac:dyDescent="0.2">
      <c r="A13" s="2" t="s">
        <v>38</v>
      </c>
      <c r="B13" s="6">
        <v>1091</v>
      </c>
      <c r="C13" s="8">
        <f>B13*data_info!B$10</f>
        <v>494.86887200000001</v>
      </c>
      <c r="D13">
        <v>2022</v>
      </c>
    </row>
    <row r="14" spans="1:4" x14ac:dyDescent="0.2">
      <c r="A14" s="2" t="s">
        <v>39</v>
      </c>
      <c r="B14" s="6">
        <v>1048</v>
      </c>
      <c r="C14" s="8">
        <f>B14*data_info!B$10</f>
        <v>475.36441600000001</v>
      </c>
      <c r="D14">
        <v>2022</v>
      </c>
    </row>
    <row r="15" spans="1:4" x14ac:dyDescent="0.2">
      <c r="A15" s="2" t="s">
        <v>40</v>
      </c>
      <c r="B15" s="6">
        <v>1040</v>
      </c>
      <c r="C15" s="8">
        <f>B15*data_info!B$10</f>
        <v>471.73568</v>
      </c>
      <c r="D15">
        <v>2022</v>
      </c>
    </row>
    <row r="16" spans="1:4" x14ac:dyDescent="0.2">
      <c r="A16" s="2" t="s">
        <v>41</v>
      </c>
      <c r="B16" s="6">
        <v>1032</v>
      </c>
      <c r="C16" s="8">
        <f>B16*data_info!B$10</f>
        <v>468.106944</v>
      </c>
      <c r="D16">
        <v>2022</v>
      </c>
    </row>
    <row r="17" spans="1:4" x14ac:dyDescent="0.2">
      <c r="A17" s="2" t="s">
        <v>42</v>
      </c>
      <c r="B17" s="6">
        <v>961</v>
      </c>
      <c r="C17" s="8">
        <f>B17*data_info!B$10</f>
        <v>435.90191199999998</v>
      </c>
      <c r="D17">
        <v>2022</v>
      </c>
    </row>
    <row r="18" spans="1:4" x14ac:dyDescent="0.2">
      <c r="A18" s="2" t="s">
        <v>43</v>
      </c>
      <c r="B18" s="6">
        <v>899</v>
      </c>
      <c r="C18" s="8">
        <f>B18*data_info!B$10</f>
        <v>407.77920799999998</v>
      </c>
      <c r="D18">
        <v>2022</v>
      </c>
    </row>
    <row r="19" spans="1:4" x14ac:dyDescent="0.2">
      <c r="A19" s="2" t="s">
        <v>44</v>
      </c>
      <c r="B19" s="6">
        <v>889</v>
      </c>
      <c r="C19" s="8">
        <f>B19*data_info!B$10</f>
        <v>403.24328800000001</v>
      </c>
      <c r="D19">
        <v>2022</v>
      </c>
    </row>
    <row r="20" spans="1:4" x14ac:dyDescent="0.2">
      <c r="A20" s="2" t="s">
        <v>45</v>
      </c>
      <c r="B20" s="6">
        <v>871</v>
      </c>
      <c r="C20" s="8">
        <f>B20*data_info!B$10</f>
        <v>395.07863199999997</v>
      </c>
      <c r="D20">
        <v>2022</v>
      </c>
    </row>
    <row r="21" spans="1:4" x14ac:dyDescent="0.2">
      <c r="A21" s="2" t="s">
        <v>46</v>
      </c>
      <c r="B21" s="6">
        <v>846</v>
      </c>
      <c r="C21" s="8">
        <f>B21*data_info!B$10</f>
        <v>383.738832</v>
      </c>
      <c r="D21">
        <v>2022</v>
      </c>
    </row>
    <row r="22" spans="1:4" x14ac:dyDescent="0.2">
      <c r="A22" s="2" t="s">
        <v>47</v>
      </c>
      <c r="B22" s="6">
        <v>832</v>
      </c>
      <c r="C22" s="8">
        <f>B22*data_info!B$10</f>
        <v>377.38854400000002</v>
      </c>
      <c r="D22">
        <v>2022</v>
      </c>
    </row>
    <row r="23" spans="1:4" x14ac:dyDescent="0.2">
      <c r="A23" s="2" t="s">
        <v>48</v>
      </c>
      <c r="B23" s="6">
        <v>832</v>
      </c>
      <c r="C23" s="8">
        <f>B23*data_info!B$10</f>
        <v>377.38854400000002</v>
      </c>
      <c r="D23">
        <v>2022</v>
      </c>
    </row>
    <row r="24" spans="1:4" x14ac:dyDescent="0.2">
      <c r="A24" s="2" t="s">
        <v>49</v>
      </c>
      <c r="B24" s="6">
        <v>810</v>
      </c>
      <c r="C24" s="8">
        <f>B24*data_info!B$10</f>
        <v>367.40951999999999</v>
      </c>
      <c r="D24">
        <v>2022</v>
      </c>
    </row>
    <row r="25" spans="1:4" x14ac:dyDescent="0.2">
      <c r="A25" s="2" t="s">
        <v>50</v>
      </c>
      <c r="B25" s="6">
        <v>800</v>
      </c>
      <c r="C25" s="8">
        <f>B25*data_info!B$10</f>
        <v>362.87360000000001</v>
      </c>
      <c r="D25">
        <v>2022</v>
      </c>
    </row>
    <row r="26" spans="1:4" x14ac:dyDescent="0.2">
      <c r="A26" s="2" t="s">
        <v>51</v>
      </c>
      <c r="B26" s="6">
        <v>765</v>
      </c>
      <c r="C26" s="8">
        <f>B26*data_info!B$10</f>
        <v>346.99788000000001</v>
      </c>
      <c r="D26">
        <v>2022</v>
      </c>
    </row>
    <row r="27" spans="1:4" x14ac:dyDescent="0.2">
      <c r="A27" s="2" t="s">
        <v>52</v>
      </c>
      <c r="B27" s="6">
        <v>761</v>
      </c>
      <c r="C27" s="8">
        <f>B27*data_info!B$10</f>
        <v>345.18351200000001</v>
      </c>
      <c r="D27">
        <v>2022</v>
      </c>
    </row>
    <row r="28" spans="1:4" x14ac:dyDescent="0.2">
      <c r="A28" s="2" t="s">
        <v>53</v>
      </c>
      <c r="B28" s="6">
        <v>760</v>
      </c>
      <c r="C28" s="8">
        <f>B28*data_info!B$10</f>
        <v>344.72991999999999</v>
      </c>
      <c r="D28">
        <v>2022</v>
      </c>
    </row>
    <row r="29" spans="1:4" x14ac:dyDescent="0.2">
      <c r="A29" s="2" t="s">
        <v>54</v>
      </c>
      <c r="B29" s="6">
        <v>703</v>
      </c>
      <c r="C29" s="8">
        <f>B29*data_info!B$10</f>
        <v>318.87517600000001</v>
      </c>
      <c r="D29">
        <v>2022</v>
      </c>
    </row>
    <row r="30" spans="1:4" x14ac:dyDescent="0.2">
      <c r="A30" s="2" t="s">
        <v>55</v>
      </c>
      <c r="B30" s="6">
        <v>683</v>
      </c>
      <c r="C30" s="8">
        <f>B30*data_info!B$10</f>
        <v>309.803336</v>
      </c>
      <c r="D30">
        <v>2022</v>
      </c>
    </row>
    <row r="31" spans="1:4" x14ac:dyDescent="0.2">
      <c r="A31" s="2" t="s">
        <v>56</v>
      </c>
      <c r="B31" s="6">
        <v>671</v>
      </c>
      <c r="C31" s="8">
        <f>B31*data_info!B$10</f>
        <v>304.360232</v>
      </c>
      <c r="D31">
        <v>2022</v>
      </c>
    </row>
    <row r="32" spans="1:4" x14ac:dyDescent="0.2">
      <c r="A32" s="2" t="s">
        <v>57</v>
      </c>
      <c r="B32" s="6">
        <v>667</v>
      </c>
      <c r="C32" s="8">
        <f>B32*data_info!B$10</f>
        <v>302.54586399999999</v>
      </c>
      <c r="D32">
        <v>2022</v>
      </c>
    </row>
    <row r="33" spans="1:4" x14ac:dyDescent="0.2">
      <c r="A33" s="2" t="s">
        <v>58</v>
      </c>
      <c r="B33" s="6">
        <v>665</v>
      </c>
      <c r="C33" s="8">
        <f>B33*data_info!B$10</f>
        <v>301.63868000000002</v>
      </c>
      <c r="D33">
        <v>2022</v>
      </c>
    </row>
    <row r="34" spans="1:4" x14ac:dyDescent="0.2">
      <c r="A34" s="2" t="s">
        <v>59</v>
      </c>
      <c r="B34" s="6">
        <v>665</v>
      </c>
      <c r="C34" s="8">
        <f>B34*data_info!B$10</f>
        <v>301.63868000000002</v>
      </c>
      <c r="D34">
        <v>2022</v>
      </c>
    </row>
    <row r="35" spans="1:4" x14ac:dyDescent="0.2">
      <c r="A35" s="2" t="s">
        <v>60</v>
      </c>
      <c r="B35" s="6">
        <v>647</v>
      </c>
      <c r="C35" s="8">
        <f>B35*data_info!B$10</f>
        <v>293.47402399999999</v>
      </c>
      <c r="D35">
        <v>2022</v>
      </c>
    </row>
    <row r="36" spans="1:4" x14ac:dyDescent="0.2">
      <c r="A36" s="2" t="s">
        <v>61</v>
      </c>
      <c r="B36" s="6">
        <v>634</v>
      </c>
      <c r="C36" s="8">
        <f>B36*data_info!B$10</f>
        <v>287.57732800000002</v>
      </c>
      <c r="D36">
        <v>2022</v>
      </c>
    </row>
    <row r="37" spans="1:4" x14ac:dyDescent="0.2">
      <c r="A37" s="2" t="s">
        <v>62</v>
      </c>
      <c r="B37" s="6">
        <v>618</v>
      </c>
      <c r="C37" s="8">
        <f>B37*data_info!B$10</f>
        <v>280.31985600000002</v>
      </c>
      <c r="D37">
        <v>2022</v>
      </c>
    </row>
    <row r="38" spans="1:4" x14ac:dyDescent="0.2">
      <c r="A38" s="2" t="s">
        <v>63</v>
      </c>
      <c r="B38" s="6">
        <v>613</v>
      </c>
      <c r="C38" s="8">
        <f>B38*data_info!B$10</f>
        <v>278.051896</v>
      </c>
      <c r="D38">
        <v>2022</v>
      </c>
    </row>
    <row r="39" spans="1:4" x14ac:dyDescent="0.2">
      <c r="A39" s="2" t="s">
        <v>64</v>
      </c>
      <c r="B39" s="6">
        <v>593</v>
      </c>
      <c r="C39" s="8">
        <f>B39*data_info!B$10</f>
        <v>268.98005599999999</v>
      </c>
      <c r="D39">
        <v>2022</v>
      </c>
    </row>
    <row r="40" spans="1:4" x14ac:dyDescent="0.2">
      <c r="A40" s="2" t="s">
        <v>65</v>
      </c>
      <c r="B40" s="6">
        <v>526</v>
      </c>
      <c r="C40" s="8">
        <f>B40*data_info!B$10</f>
        <v>238.589392</v>
      </c>
      <c r="D40">
        <v>2022</v>
      </c>
    </row>
    <row r="41" spans="1:4" x14ac:dyDescent="0.2">
      <c r="A41" s="2" t="s">
        <v>66</v>
      </c>
      <c r="B41" s="6">
        <v>507</v>
      </c>
      <c r="C41" s="8">
        <f>B41*data_info!B$10</f>
        <v>229.97114400000001</v>
      </c>
      <c r="D41">
        <v>2022</v>
      </c>
    </row>
    <row r="42" spans="1:4" x14ac:dyDescent="0.2">
      <c r="A42" s="2" t="s">
        <v>67</v>
      </c>
      <c r="B42" s="6">
        <v>476</v>
      </c>
      <c r="C42" s="8">
        <f>B42*data_info!B$10</f>
        <v>215.90979200000001</v>
      </c>
      <c r="D42">
        <v>2022</v>
      </c>
    </row>
    <row r="43" spans="1:4" x14ac:dyDescent="0.2">
      <c r="A43" s="2" t="s">
        <v>68</v>
      </c>
      <c r="B43" s="6">
        <v>466</v>
      </c>
      <c r="C43" s="8">
        <f>B43*data_info!B$10</f>
        <v>211.37387200000001</v>
      </c>
      <c r="D43">
        <v>2022</v>
      </c>
    </row>
    <row r="44" spans="1:4" x14ac:dyDescent="0.2">
      <c r="A44" s="2" t="s">
        <v>69</v>
      </c>
      <c r="B44" s="6">
        <v>372</v>
      </c>
      <c r="C44" s="8">
        <f>B44*data_info!B$10</f>
        <v>168.73622399999999</v>
      </c>
      <c r="D44">
        <v>2022</v>
      </c>
    </row>
    <row r="45" spans="1:4" x14ac:dyDescent="0.2">
      <c r="A45" s="2" t="s">
        <v>70</v>
      </c>
      <c r="B45" s="6">
        <v>352</v>
      </c>
      <c r="C45" s="8">
        <f>B45*data_info!B$10</f>
        <v>159.66438399999998</v>
      </c>
      <c r="D45">
        <v>2022</v>
      </c>
    </row>
    <row r="46" spans="1:4" x14ac:dyDescent="0.2">
      <c r="A46" s="2" t="s">
        <v>71</v>
      </c>
      <c r="B46" s="6">
        <v>293</v>
      </c>
      <c r="C46" s="8">
        <f>B46*data_info!B$10</f>
        <v>132.902456</v>
      </c>
      <c r="D46">
        <v>2022</v>
      </c>
    </row>
    <row r="47" spans="1:4" x14ac:dyDescent="0.2">
      <c r="A47" s="2" t="s">
        <v>72</v>
      </c>
      <c r="B47" s="6">
        <v>283</v>
      </c>
      <c r="C47" s="8">
        <f>B47*data_info!B$10</f>
        <v>128.366536</v>
      </c>
      <c r="D47">
        <v>2022</v>
      </c>
    </row>
    <row r="48" spans="1:4" x14ac:dyDescent="0.2">
      <c r="A48" s="2" t="s">
        <v>73</v>
      </c>
      <c r="B48" s="6">
        <v>259</v>
      </c>
      <c r="C48" s="8">
        <f>B48*data_info!B$10</f>
        <v>117.480328</v>
      </c>
      <c r="D48">
        <v>2022</v>
      </c>
    </row>
    <row r="49" spans="1:4" x14ac:dyDescent="0.2">
      <c r="A49" s="2" t="s">
        <v>25</v>
      </c>
      <c r="B49" s="6">
        <v>237</v>
      </c>
      <c r="C49" s="8">
        <f>B49*data_info!B$10</f>
        <v>107.501304</v>
      </c>
      <c r="D49">
        <v>2022</v>
      </c>
    </row>
    <row r="50" spans="1:4" x14ac:dyDescent="0.2">
      <c r="A50" s="2" t="s">
        <v>74</v>
      </c>
      <c r="B50" s="6">
        <v>185</v>
      </c>
      <c r="C50" s="8">
        <f>B50*data_info!B$10</f>
        <v>83.914519999999996</v>
      </c>
      <c r="D50">
        <v>2022</v>
      </c>
    </row>
    <row r="51" spans="1:4" x14ac:dyDescent="0.2">
      <c r="A51" s="2" t="s">
        <v>75</v>
      </c>
      <c r="B51" s="6">
        <v>1</v>
      </c>
      <c r="C51" s="8">
        <f>B51*data_info!B$10</f>
        <v>0.453592</v>
      </c>
      <c r="D51">
        <v>2022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B29D-776F-433F-A1E3-DDB2AA24F290}">
  <dimension ref="A1:B12"/>
  <sheetViews>
    <sheetView tabSelected="1" workbookViewId="0">
      <selection activeCell="B28" sqref="B28"/>
    </sheetView>
  </sheetViews>
  <sheetFormatPr baseColWidth="10" defaultRowHeight="12.75" x14ac:dyDescent="0.2"/>
  <cols>
    <col min="1" max="1" width="34.42578125" style="8" customWidth="1"/>
    <col min="2" max="2" width="46.140625" customWidth="1"/>
  </cols>
  <sheetData>
    <row r="1" spans="1:2" x14ac:dyDescent="0.2">
      <c r="A1" s="8" t="s">
        <v>82</v>
      </c>
      <c r="B1" s="7" t="s">
        <v>88</v>
      </c>
    </row>
    <row r="2" spans="1:2" x14ac:dyDescent="0.2">
      <c r="A2" s="8" t="s">
        <v>83</v>
      </c>
      <c r="B2" t="s">
        <v>95</v>
      </c>
    </row>
    <row r="3" spans="1:2" x14ac:dyDescent="0.2">
      <c r="A3" s="8" t="s">
        <v>84</v>
      </c>
      <c r="B3" t="s">
        <v>98</v>
      </c>
    </row>
    <row r="4" spans="1:2" x14ac:dyDescent="0.2">
      <c r="A4" s="8" t="s">
        <v>97</v>
      </c>
      <c r="B4" t="s">
        <v>96</v>
      </c>
    </row>
    <row r="5" spans="1:2" x14ac:dyDescent="0.2">
      <c r="A5" s="8" t="s">
        <v>85</v>
      </c>
      <c r="B5" s="2" t="s">
        <v>1</v>
      </c>
    </row>
    <row r="6" spans="1:2" x14ac:dyDescent="0.2">
      <c r="A6" s="8" t="s">
        <v>86</v>
      </c>
      <c r="B6" s="9" t="s">
        <v>90</v>
      </c>
    </row>
    <row r="7" spans="1:2" x14ac:dyDescent="0.2">
      <c r="A7" s="8" t="s">
        <v>87</v>
      </c>
      <c r="B7" t="s">
        <v>89</v>
      </c>
    </row>
    <row r="8" spans="1:2" x14ac:dyDescent="0.2">
      <c r="A8" s="8" t="s">
        <v>92</v>
      </c>
      <c r="B8" t="s">
        <v>91</v>
      </c>
    </row>
    <row r="9" spans="1:2" s="7" customFormat="1" x14ac:dyDescent="0.2">
      <c r="A9" s="8" t="s">
        <v>93</v>
      </c>
      <c r="B9" s="7" t="s">
        <v>99</v>
      </c>
    </row>
    <row r="10" spans="1:2" x14ac:dyDescent="0.2">
      <c r="A10" s="8" t="s">
        <v>100</v>
      </c>
      <c r="B10" s="8">
        <v>0.453592</v>
      </c>
    </row>
    <row r="11" spans="1:2" x14ac:dyDescent="0.2">
      <c r="A11" s="8" t="s">
        <v>94</v>
      </c>
      <c r="B11" t="s">
        <v>80</v>
      </c>
    </row>
    <row r="12" spans="1:2" x14ac:dyDescent="0.2">
      <c r="A12" s="8" t="s">
        <v>78</v>
      </c>
      <c r="B12">
        <v>2022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Overview</vt:lpstr>
      <vt:lpstr>data</vt:lpstr>
      <vt:lpstr>data_info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Jara Späte</cp:lastModifiedBy>
  <dcterms:modified xsi:type="dcterms:W3CDTF">2024-04-28T03:45:06Z</dcterms:modified>
  <cp:category/>
  <cp:contentStatus/>
</cp:coreProperties>
</file>